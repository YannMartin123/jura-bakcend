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QuizzBox\RATTRAPAGE_BIOS211_BIOS2_A1001_S3\"/>
    </mc:Choice>
  </mc:AlternateContent>
  <bookViews>
    <workbookView xWindow="5760" yWindow="3390" windowWidth="17280" windowHeight="8970"/>
  </bookViews>
  <sheets>
    <sheet name="Resultat" sheetId="1" r:id="rId1"/>
    <sheet name="Feuil2" sheetId="6" state="hidden" r:id="rId2"/>
    <sheet name="Param_Modele" sheetId="4" state="hidden" r:id="rId3"/>
  </sheets>
  <definedNames>
    <definedName name="_xlnm._FilterDatabase" localSheetId="2" hidden="1">Param_Modele!$B$12:$C$14</definedName>
    <definedName name="_xlnm._FilterDatabase" localSheetId="0" hidden="1">Resultat!$B$13:$F$13</definedName>
    <definedName name="zn_param_Modele_Defaut">Param_Modele!$B$10</definedName>
    <definedName name="zn_param_Modele_Filtre">Param_Modele!$B$8</definedName>
    <definedName name="zn_param_Modele_Multi_Session">Param_Modele!$B$6</definedName>
    <definedName name="zn_param_Modele_Niv_Requete">Param_Modele!$B$3</definedName>
    <definedName name="zn_param_Modele_Plusieurs_Fichiers">Param_Modele!$B$4</definedName>
    <definedName name="zn_param_Modele_Progression">Param_Modele!$B$9</definedName>
    <definedName name="zn_param_Modele_Tri">Param_Modele!$B$7</definedName>
    <definedName name="zn_param_Modele_Type_Modele">Param_Modele!$B$2</definedName>
    <definedName name="zn_param_Modele_Type_Proc_Traitement">Param_Modele!$B$1</definedName>
    <definedName name="zn_param_Modele_Version">Param_Modele!$B$5</definedName>
    <definedName name="znGenCodePostal">Resultat!$G$3</definedName>
    <definedName name="znGenFax">Resultat!$C$4</definedName>
    <definedName name="znGenRue1">Resultat!$B$3</definedName>
    <definedName name="znGenSociete">Resultat!$B$2</definedName>
    <definedName name="znGenTel">Resultat!$C$3</definedName>
    <definedName name="znGenVille">Resultat!$H$3</definedName>
    <definedName name="_xlnm.Print_Area" localSheetId="0">Resultat!$B:$F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04" i="6" l="1"/>
  <c r="E304" i="6"/>
  <c r="G303" i="6"/>
  <c r="E303" i="6"/>
  <c r="G302" i="6"/>
  <c r="E302" i="6"/>
  <c r="G301" i="6"/>
  <c r="E301" i="6"/>
  <c r="G300" i="6"/>
  <c r="E300" i="6"/>
  <c r="G299" i="6"/>
  <c r="E299" i="6"/>
  <c r="G298" i="6"/>
  <c r="E298" i="6"/>
  <c r="G297" i="6"/>
  <c r="E297" i="6"/>
  <c r="G296" i="6"/>
  <c r="E296" i="6"/>
  <c r="G295" i="6"/>
  <c r="E295" i="6"/>
  <c r="G294" i="6"/>
  <c r="E294" i="6"/>
  <c r="G293" i="6"/>
  <c r="E293" i="6"/>
  <c r="G292" i="6"/>
  <c r="E292" i="6"/>
  <c r="G291" i="6"/>
  <c r="E291" i="6"/>
  <c r="G290" i="6"/>
  <c r="E290" i="6"/>
  <c r="G289" i="6"/>
  <c r="E289" i="6"/>
  <c r="G288" i="6"/>
  <c r="E288" i="6"/>
  <c r="G287" i="6"/>
  <c r="E287" i="6"/>
  <c r="G286" i="6"/>
  <c r="E286" i="6"/>
  <c r="G285" i="6"/>
  <c r="E285" i="6"/>
  <c r="G284" i="6"/>
  <c r="E284" i="6"/>
  <c r="G283" i="6"/>
  <c r="E283" i="6"/>
  <c r="G282" i="6"/>
  <c r="E282" i="6"/>
  <c r="G281" i="6"/>
  <c r="E281" i="6"/>
  <c r="G280" i="6"/>
  <c r="E280" i="6"/>
  <c r="G279" i="6"/>
  <c r="E279" i="6"/>
  <c r="G278" i="6"/>
  <c r="E278" i="6"/>
  <c r="G277" i="6"/>
  <c r="E277" i="6"/>
  <c r="G276" i="6"/>
  <c r="E276" i="6"/>
  <c r="G275" i="6"/>
  <c r="E275" i="6"/>
  <c r="G274" i="6"/>
  <c r="E274" i="6"/>
  <c r="G273" i="6"/>
  <c r="E273" i="6"/>
  <c r="G272" i="6"/>
  <c r="E272" i="6"/>
  <c r="G271" i="6"/>
  <c r="E271" i="6"/>
  <c r="G270" i="6"/>
  <c r="E270" i="6"/>
  <c r="G269" i="6"/>
  <c r="E269" i="6"/>
  <c r="G268" i="6"/>
  <c r="E268" i="6"/>
  <c r="G267" i="6"/>
  <c r="E267" i="6"/>
  <c r="G266" i="6"/>
  <c r="E266" i="6"/>
  <c r="G265" i="6"/>
  <c r="E265" i="6"/>
  <c r="G264" i="6"/>
  <c r="E264" i="6"/>
  <c r="G263" i="6"/>
  <c r="E263" i="6"/>
  <c r="G262" i="6"/>
  <c r="E262" i="6"/>
  <c r="G261" i="6"/>
  <c r="E261" i="6"/>
  <c r="G260" i="6"/>
  <c r="E260" i="6"/>
  <c r="G259" i="6"/>
  <c r="E259" i="6"/>
  <c r="G258" i="6"/>
  <c r="E258" i="6"/>
  <c r="G257" i="6"/>
  <c r="E257" i="6"/>
  <c r="G256" i="6"/>
  <c r="E256" i="6"/>
  <c r="G255" i="6"/>
  <c r="E255" i="6"/>
  <c r="G254" i="6"/>
  <c r="E254" i="6"/>
  <c r="G253" i="6"/>
  <c r="E253" i="6"/>
  <c r="G252" i="6"/>
  <c r="E252" i="6"/>
  <c r="G251" i="6"/>
  <c r="E251" i="6"/>
  <c r="G250" i="6"/>
  <c r="E250" i="6"/>
  <c r="G249" i="6"/>
  <c r="E249" i="6"/>
  <c r="G248" i="6"/>
  <c r="E248" i="6"/>
  <c r="G247" i="6"/>
  <c r="E247" i="6"/>
  <c r="G246" i="6"/>
  <c r="E246" i="6"/>
  <c r="G245" i="6"/>
  <c r="E245" i="6"/>
  <c r="G244" i="6"/>
  <c r="E244" i="6"/>
  <c r="G243" i="6"/>
  <c r="E243" i="6"/>
  <c r="G242" i="6"/>
  <c r="E242" i="6"/>
  <c r="G241" i="6"/>
  <c r="E241" i="6"/>
  <c r="G240" i="6"/>
  <c r="E240" i="6"/>
  <c r="G239" i="6"/>
  <c r="E239" i="6"/>
  <c r="G238" i="6"/>
  <c r="E238" i="6"/>
  <c r="G237" i="6"/>
  <c r="E237" i="6"/>
  <c r="G236" i="6"/>
  <c r="E236" i="6"/>
  <c r="G235" i="6"/>
  <c r="E235" i="6"/>
  <c r="G234" i="6"/>
  <c r="E234" i="6"/>
  <c r="G233" i="6"/>
  <c r="E233" i="6"/>
  <c r="G232" i="6"/>
  <c r="E232" i="6"/>
  <c r="G231" i="6"/>
  <c r="E231" i="6"/>
  <c r="G230" i="6"/>
  <c r="E230" i="6"/>
  <c r="G229" i="6"/>
  <c r="E229" i="6"/>
  <c r="G228" i="6"/>
  <c r="E228" i="6"/>
  <c r="G227" i="6"/>
  <c r="E227" i="6"/>
  <c r="G226" i="6"/>
  <c r="E226" i="6"/>
  <c r="G225" i="6"/>
  <c r="E225" i="6"/>
  <c r="G224" i="6"/>
  <c r="E224" i="6"/>
  <c r="G223" i="6"/>
  <c r="E223" i="6"/>
  <c r="G222" i="6"/>
  <c r="E222" i="6"/>
  <c r="G221" i="6"/>
  <c r="E221" i="6"/>
  <c r="G220" i="6"/>
  <c r="E220" i="6"/>
  <c r="G219" i="6"/>
  <c r="E219" i="6"/>
  <c r="G218" i="6"/>
  <c r="E218" i="6"/>
  <c r="G217" i="6"/>
  <c r="E217" i="6"/>
  <c r="G216" i="6"/>
  <c r="E216" i="6"/>
  <c r="G215" i="6"/>
  <c r="E215" i="6"/>
  <c r="G214" i="6"/>
  <c r="E214" i="6"/>
  <c r="G213" i="6"/>
  <c r="E213" i="6"/>
  <c r="G212" i="6"/>
  <c r="E212" i="6"/>
  <c r="G211" i="6"/>
  <c r="E211" i="6"/>
  <c r="G210" i="6"/>
  <c r="E210" i="6"/>
  <c r="G209" i="6"/>
  <c r="E209" i="6"/>
  <c r="G208" i="6"/>
  <c r="E208" i="6"/>
  <c r="G207" i="6"/>
  <c r="E207" i="6"/>
  <c r="G206" i="6"/>
  <c r="E206" i="6"/>
  <c r="G205" i="6"/>
  <c r="E205" i="6"/>
  <c r="G204" i="6"/>
  <c r="E204" i="6"/>
  <c r="G203" i="6"/>
  <c r="E203" i="6"/>
  <c r="G202" i="6"/>
  <c r="E202" i="6"/>
  <c r="G201" i="6"/>
  <c r="E201" i="6"/>
  <c r="G200" i="6"/>
  <c r="E200" i="6"/>
  <c r="G199" i="6"/>
  <c r="E199" i="6"/>
  <c r="G198" i="6"/>
  <c r="E198" i="6"/>
  <c r="G197" i="6"/>
  <c r="E197" i="6"/>
  <c r="G196" i="6"/>
  <c r="E196" i="6"/>
  <c r="G195" i="6"/>
  <c r="E195" i="6"/>
  <c r="G194" i="6"/>
  <c r="E194" i="6"/>
  <c r="G193" i="6"/>
  <c r="E193" i="6"/>
  <c r="G192" i="6"/>
  <c r="E192" i="6"/>
  <c r="G191" i="6"/>
  <c r="E191" i="6"/>
  <c r="G190" i="6"/>
  <c r="E190" i="6"/>
  <c r="G189" i="6"/>
  <c r="E189" i="6"/>
  <c r="G188" i="6"/>
  <c r="E188" i="6"/>
  <c r="G187" i="6"/>
  <c r="E187" i="6"/>
  <c r="G186" i="6"/>
  <c r="E186" i="6"/>
  <c r="G185" i="6"/>
  <c r="E185" i="6"/>
  <c r="G184" i="6"/>
  <c r="E184" i="6"/>
  <c r="G183" i="6"/>
  <c r="E183" i="6"/>
  <c r="G182" i="6"/>
  <c r="E182" i="6"/>
  <c r="G181" i="6"/>
  <c r="E181" i="6"/>
  <c r="G180" i="6"/>
  <c r="E180" i="6"/>
  <c r="G179" i="6"/>
  <c r="E179" i="6"/>
  <c r="G178" i="6"/>
  <c r="E178" i="6"/>
  <c r="G177" i="6"/>
  <c r="E177" i="6"/>
  <c r="G176" i="6"/>
  <c r="E176" i="6"/>
  <c r="G175" i="6"/>
  <c r="E175" i="6"/>
  <c r="G174" i="6"/>
  <c r="E174" i="6"/>
  <c r="G173" i="6"/>
  <c r="E173" i="6"/>
  <c r="G172" i="6"/>
  <c r="E172" i="6"/>
  <c r="G171" i="6"/>
  <c r="E171" i="6"/>
  <c r="G170" i="6"/>
  <c r="E170" i="6"/>
  <c r="G169" i="6"/>
  <c r="E169" i="6"/>
  <c r="G168" i="6"/>
  <c r="E168" i="6"/>
  <c r="G167" i="6"/>
  <c r="E167" i="6"/>
  <c r="G166" i="6"/>
  <c r="E166" i="6"/>
  <c r="G165" i="6"/>
  <c r="E165" i="6"/>
  <c r="G164" i="6"/>
  <c r="E164" i="6"/>
  <c r="G163" i="6"/>
  <c r="E163" i="6"/>
  <c r="G162" i="6"/>
  <c r="E162" i="6"/>
  <c r="G161" i="6"/>
  <c r="E161" i="6"/>
  <c r="G160" i="6"/>
  <c r="E160" i="6"/>
  <c r="G159" i="6"/>
  <c r="E159" i="6"/>
  <c r="G158" i="6"/>
  <c r="E158" i="6"/>
  <c r="G157" i="6"/>
  <c r="E157" i="6"/>
  <c r="G156" i="6"/>
  <c r="E156" i="6"/>
  <c r="G155" i="6"/>
  <c r="E155" i="6"/>
  <c r="G154" i="6"/>
  <c r="E154" i="6"/>
  <c r="G153" i="6"/>
  <c r="E153" i="6"/>
  <c r="G152" i="6"/>
  <c r="E152" i="6"/>
  <c r="G151" i="6"/>
  <c r="E151" i="6"/>
  <c r="G150" i="6"/>
  <c r="E150" i="6"/>
  <c r="G149" i="6"/>
  <c r="E149" i="6"/>
  <c r="G148" i="6"/>
  <c r="E148" i="6"/>
  <c r="G147" i="6"/>
  <c r="E147" i="6"/>
  <c r="G146" i="6"/>
  <c r="E146" i="6"/>
  <c r="G145" i="6"/>
  <c r="E145" i="6"/>
  <c r="G144" i="6"/>
  <c r="E144" i="6"/>
  <c r="G143" i="6"/>
  <c r="E143" i="6"/>
  <c r="G142" i="6"/>
  <c r="E142" i="6"/>
  <c r="G141" i="6"/>
  <c r="E141" i="6"/>
  <c r="G140" i="6"/>
  <c r="E140" i="6"/>
  <c r="G139" i="6"/>
  <c r="E139" i="6"/>
  <c r="G138" i="6"/>
  <c r="E138" i="6"/>
  <c r="G137" i="6"/>
  <c r="E137" i="6"/>
  <c r="G136" i="6"/>
  <c r="E136" i="6"/>
  <c r="G135" i="6"/>
  <c r="E135" i="6"/>
  <c r="G134" i="6"/>
  <c r="E134" i="6"/>
  <c r="G133" i="6"/>
  <c r="E133" i="6"/>
  <c r="G132" i="6"/>
  <c r="E132" i="6"/>
  <c r="G131" i="6"/>
  <c r="E131" i="6"/>
  <c r="G130" i="6"/>
  <c r="E130" i="6"/>
  <c r="G129" i="6"/>
  <c r="E129" i="6"/>
  <c r="G128" i="6"/>
  <c r="E128" i="6"/>
  <c r="G127" i="6"/>
  <c r="E127" i="6"/>
  <c r="G126" i="6"/>
  <c r="E126" i="6"/>
  <c r="G125" i="6"/>
  <c r="E125" i="6"/>
  <c r="G124" i="6"/>
  <c r="E124" i="6"/>
  <c r="G123" i="6"/>
  <c r="E123" i="6"/>
  <c r="G122" i="6"/>
  <c r="E122" i="6"/>
  <c r="G121" i="6"/>
  <c r="E121" i="6"/>
  <c r="G120" i="6"/>
  <c r="E120" i="6"/>
  <c r="G119" i="6"/>
  <c r="E119" i="6"/>
  <c r="G118" i="6"/>
  <c r="E118" i="6"/>
  <c r="G117" i="6"/>
  <c r="E117" i="6"/>
  <c r="G116" i="6"/>
  <c r="E116" i="6"/>
  <c r="G115" i="6"/>
  <c r="E115" i="6"/>
  <c r="G114" i="6"/>
  <c r="E114" i="6"/>
  <c r="G113" i="6"/>
  <c r="E113" i="6"/>
  <c r="G112" i="6"/>
  <c r="E112" i="6"/>
  <c r="G111" i="6"/>
  <c r="E111" i="6"/>
  <c r="G110" i="6"/>
  <c r="E110" i="6"/>
  <c r="G109" i="6"/>
  <c r="E109" i="6"/>
  <c r="G108" i="6"/>
  <c r="E108" i="6"/>
  <c r="G107" i="6"/>
  <c r="E107" i="6"/>
  <c r="G106" i="6"/>
  <c r="E106" i="6"/>
  <c r="G105" i="6"/>
  <c r="E105" i="6"/>
  <c r="G104" i="6"/>
  <c r="E104" i="6"/>
  <c r="G103" i="6"/>
  <c r="E103" i="6"/>
  <c r="G102" i="6"/>
  <c r="E102" i="6"/>
  <c r="G101" i="6"/>
  <c r="E101" i="6"/>
  <c r="G100" i="6"/>
  <c r="E100" i="6"/>
  <c r="G99" i="6"/>
  <c r="E99" i="6"/>
  <c r="G98" i="6"/>
  <c r="E98" i="6"/>
  <c r="G97" i="6"/>
  <c r="E97" i="6"/>
  <c r="G96" i="6"/>
  <c r="E96" i="6"/>
  <c r="G95" i="6"/>
  <c r="E95" i="6"/>
  <c r="G94" i="6"/>
  <c r="E94" i="6"/>
  <c r="G93" i="6"/>
  <c r="E93" i="6"/>
  <c r="G92" i="6"/>
  <c r="E92" i="6"/>
  <c r="G91" i="6"/>
  <c r="E91" i="6"/>
  <c r="G90" i="6"/>
  <c r="E90" i="6"/>
  <c r="G89" i="6"/>
  <c r="E89" i="6"/>
  <c r="G88" i="6"/>
  <c r="E88" i="6"/>
  <c r="G87" i="6"/>
  <c r="E87" i="6"/>
  <c r="G86" i="6"/>
  <c r="E86" i="6"/>
  <c r="G85" i="6"/>
  <c r="E85" i="6"/>
  <c r="G84" i="6"/>
  <c r="E84" i="6"/>
  <c r="G83" i="6"/>
  <c r="E83" i="6"/>
  <c r="G82" i="6"/>
  <c r="E82" i="6"/>
  <c r="G81" i="6"/>
  <c r="E81" i="6"/>
  <c r="G80" i="6"/>
  <c r="E80" i="6"/>
  <c r="G79" i="6"/>
  <c r="E79" i="6"/>
  <c r="G78" i="6"/>
  <c r="E78" i="6"/>
  <c r="G77" i="6"/>
  <c r="E77" i="6"/>
  <c r="G76" i="6"/>
  <c r="E76" i="6"/>
  <c r="G75" i="6"/>
  <c r="E75" i="6"/>
  <c r="G74" i="6"/>
  <c r="E74" i="6"/>
  <c r="G73" i="6"/>
  <c r="E73" i="6"/>
  <c r="G72" i="6"/>
  <c r="E72" i="6"/>
  <c r="G71" i="6"/>
  <c r="E71" i="6"/>
  <c r="G70" i="6"/>
  <c r="E70" i="6"/>
  <c r="G69" i="6"/>
  <c r="E69" i="6"/>
  <c r="G68" i="6"/>
  <c r="E68" i="6"/>
  <c r="G67" i="6"/>
  <c r="E67" i="6"/>
  <c r="G66" i="6"/>
  <c r="E66" i="6"/>
  <c r="G65" i="6"/>
  <c r="E65" i="6"/>
  <c r="G64" i="6"/>
  <c r="E64" i="6"/>
  <c r="G63" i="6"/>
  <c r="E63" i="6"/>
  <c r="G62" i="6"/>
  <c r="E62" i="6"/>
  <c r="G61" i="6"/>
  <c r="E61" i="6"/>
  <c r="G60" i="6"/>
  <c r="E60" i="6"/>
  <c r="G59" i="6"/>
  <c r="E59" i="6"/>
  <c r="G58" i="6"/>
  <c r="E58" i="6"/>
  <c r="G57" i="6"/>
  <c r="E57" i="6"/>
  <c r="G56" i="6"/>
  <c r="E56" i="6"/>
  <c r="G55" i="6"/>
  <c r="E55" i="6"/>
  <c r="G54" i="6"/>
  <c r="E54" i="6"/>
  <c r="G53" i="6"/>
  <c r="E53" i="6"/>
  <c r="G52" i="6"/>
  <c r="E52" i="6"/>
  <c r="G51" i="6"/>
  <c r="E51" i="6"/>
  <c r="G50" i="6"/>
  <c r="E50" i="6"/>
  <c r="G49" i="6"/>
  <c r="E49" i="6"/>
  <c r="G48" i="6"/>
  <c r="E48" i="6"/>
  <c r="G47" i="6"/>
  <c r="E47" i="6"/>
  <c r="G46" i="6"/>
  <c r="E46" i="6"/>
  <c r="G45" i="6"/>
  <c r="E45" i="6"/>
  <c r="G44" i="6"/>
  <c r="E44" i="6"/>
  <c r="G43" i="6"/>
  <c r="E43" i="6"/>
  <c r="G42" i="6"/>
  <c r="E42" i="6"/>
  <c r="G41" i="6"/>
  <c r="E41" i="6"/>
  <c r="G40" i="6"/>
  <c r="E40" i="6"/>
  <c r="G39" i="6"/>
  <c r="E39" i="6"/>
  <c r="G38" i="6"/>
  <c r="E38" i="6"/>
  <c r="G37" i="6"/>
  <c r="E37" i="6"/>
  <c r="G36" i="6"/>
  <c r="E36" i="6"/>
  <c r="G35" i="6"/>
  <c r="E35" i="6"/>
  <c r="G34" i="6"/>
  <c r="E34" i="6"/>
  <c r="G33" i="6"/>
  <c r="E33" i="6"/>
  <c r="G32" i="6"/>
  <c r="E32" i="6"/>
  <c r="G31" i="6"/>
  <c r="E31" i="6"/>
  <c r="G30" i="6"/>
  <c r="E30" i="6"/>
  <c r="G29" i="6"/>
  <c r="E29" i="6"/>
  <c r="G28" i="6"/>
  <c r="E28" i="6"/>
  <c r="G27" i="6"/>
  <c r="E27" i="6"/>
  <c r="G26" i="6"/>
  <c r="E26" i="6"/>
  <c r="G25" i="6"/>
  <c r="E25" i="6"/>
  <c r="G24" i="6"/>
  <c r="E24" i="6"/>
  <c r="G23" i="6"/>
  <c r="E23" i="6"/>
  <c r="G22" i="6"/>
  <c r="E22" i="6"/>
  <c r="G21" i="6"/>
  <c r="E21" i="6"/>
  <c r="G20" i="6"/>
  <c r="E20" i="6"/>
  <c r="G19" i="6"/>
  <c r="E19" i="6"/>
  <c r="G18" i="6"/>
  <c r="E18" i="6"/>
  <c r="G17" i="6"/>
  <c r="E17" i="6"/>
  <c r="G16" i="6"/>
  <c r="E16" i="6"/>
  <c r="G15" i="6"/>
  <c r="E15" i="6"/>
  <c r="G14" i="6"/>
  <c r="E14" i="6"/>
  <c r="G13" i="6"/>
  <c r="E13" i="6"/>
  <c r="G12" i="6"/>
  <c r="E12" i="6"/>
  <c r="G11" i="6"/>
  <c r="E11" i="6"/>
  <c r="G10" i="6"/>
  <c r="E10" i="6"/>
  <c r="G9" i="6"/>
  <c r="E9" i="6"/>
  <c r="G8" i="6"/>
  <c r="E8" i="6"/>
  <c r="G7" i="6"/>
  <c r="E7" i="6"/>
  <c r="G6" i="6"/>
  <c r="E6" i="6"/>
  <c r="G5" i="6"/>
  <c r="E5" i="6"/>
  <c r="G4" i="6"/>
  <c r="E4" i="6"/>
  <c r="E315" i="1"/>
  <c r="F315" i="1"/>
  <c r="E314" i="1"/>
  <c r="F314" i="1"/>
  <c r="E313" i="1"/>
  <c r="F313" i="1"/>
  <c r="E312" i="1"/>
  <c r="F312" i="1"/>
  <c r="E311" i="1"/>
  <c r="F311" i="1"/>
  <c r="E310" i="1"/>
  <c r="F310" i="1"/>
  <c r="E309" i="1"/>
  <c r="F309" i="1"/>
  <c r="E308" i="1"/>
  <c r="F308" i="1"/>
  <c r="E307" i="1"/>
  <c r="F307" i="1"/>
  <c r="E306" i="1"/>
  <c r="F306" i="1"/>
  <c r="E305" i="1"/>
  <c r="F305" i="1"/>
  <c r="E304" i="1"/>
  <c r="F304" i="1"/>
  <c r="E303" i="1"/>
  <c r="F303" i="1"/>
  <c r="E302" i="1"/>
  <c r="F302" i="1"/>
  <c r="E301" i="1"/>
  <c r="F301" i="1"/>
  <c r="E300" i="1"/>
  <c r="F300" i="1"/>
  <c r="E299" i="1"/>
  <c r="F299" i="1"/>
  <c r="E298" i="1"/>
  <c r="F298" i="1"/>
  <c r="E297" i="1"/>
  <c r="F297" i="1"/>
  <c r="E296" i="1"/>
  <c r="F296" i="1"/>
  <c r="E295" i="1"/>
  <c r="F295" i="1"/>
  <c r="E294" i="1"/>
  <c r="F294" i="1"/>
  <c r="E293" i="1"/>
  <c r="F293" i="1"/>
  <c r="E292" i="1"/>
  <c r="F292" i="1"/>
  <c r="E291" i="1"/>
  <c r="F291" i="1"/>
  <c r="E290" i="1"/>
  <c r="F290" i="1"/>
  <c r="E289" i="1"/>
  <c r="F289" i="1"/>
  <c r="E288" i="1"/>
  <c r="F288" i="1"/>
  <c r="E287" i="1"/>
  <c r="F287" i="1"/>
  <c r="E286" i="1"/>
  <c r="F286" i="1"/>
  <c r="E285" i="1"/>
  <c r="F285" i="1"/>
  <c r="E284" i="1"/>
  <c r="F284" i="1"/>
  <c r="E283" i="1"/>
  <c r="F283" i="1"/>
  <c r="E282" i="1"/>
  <c r="F282" i="1"/>
  <c r="E281" i="1"/>
  <c r="F281" i="1"/>
  <c r="E280" i="1"/>
  <c r="F280" i="1"/>
  <c r="E279" i="1"/>
  <c r="F279" i="1"/>
  <c r="E278" i="1"/>
  <c r="F278" i="1"/>
  <c r="E277" i="1"/>
  <c r="F277" i="1"/>
  <c r="E276" i="1"/>
  <c r="F276" i="1"/>
  <c r="E275" i="1"/>
  <c r="F275" i="1"/>
  <c r="E274" i="1"/>
  <c r="F274" i="1"/>
  <c r="E273" i="1"/>
  <c r="F273" i="1"/>
  <c r="E272" i="1"/>
  <c r="F272" i="1"/>
  <c r="E271" i="1"/>
  <c r="F271" i="1"/>
  <c r="E270" i="1"/>
  <c r="F270" i="1"/>
  <c r="E269" i="1"/>
  <c r="F269" i="1"/>
  <c r="E268" i="1"/>
  <c r="F268" i="1"/>
  <c r="E267" i="1"/>
  <c r="F267" i="1"/>
  <c r="E266" i="1"/>
  <c r="F266" i="1"/>
  <c r="E265" i="1"/>
  <c r="F265" i="1"/>
  <c r="E264" i="1"/>
  <c r="F264" i="1"/>
  <c r="E263" i="1"/>
  <c r="F263" i="1"/>
  <c r="E262" i="1"/>
  <c r="F262" i="1"/>
  <c r="E261" i="1"/>
  <c r="F261" i="1"/>
  <c r="E260" i="1"/>
  <c r="F260" i="1"/>
  <c r="E259" i="1"/>
  <c r="F259" i="1"/>
  <c r="E258" i="1"/>
  <c r="F258" i="1"/>
  <c r="E257" i="1"/>
  <c r="F257" i="1"/>
  <c r="E256" i="1"/>
  <c r="F256" i="1"/>
  <c r="E255" i="1"/>
  <c r="F255" i="1"/>
  <c r="E254" i="1"/>
  <c r="F254" i="1"/>
  <c r="E253" i="1"/>
  <c r="F253" i="1"/>
  <c r="E252" i="1"/>
  <c r="F252" i="1"/>
  <c r="E251" i="1"/>
  <c r="F251" i="1"/>
  <c r="E250" i="1"/>
  <c r="F250" i="1"/>
  <c r="E249" i="1"/>
  <c r="F249" i="1"/>
  <c r="E248" i="1"/>
  <c r="F248" i="1"/>
  <c r="E247" i="1"/>
  <c r="F247" i="1"/>
  <c r="E246" i="1"/>
  <c r="F246" i="1"/>
  <c r="E245" i="1"/>
  <c r="F245" i="1"/>
  <c r="E244" i="1"/>
  <c r="F244" i="1"/>
  <c r="E243" i="1"/>
  <c r="F243" i="1"/>
  <c r="E242" i="1"/>
  <c r="F242" i="1"/>
  <c r="E241" i="1"/>
  <c r="F241" i="1"/>
  <c r="E240" i="1"/>
  <c r="F240" i="1"/>
  <c r="E239" i="1"/>
  <c r="F239" i="1"/>
  <c r="E238" i="1"/>
  <c r="F238" i="1"/>
  <c r="E237" i="1"/>
  <c r="F237" i="1"/>
  <c r="E236" i="1"/>
  <c r="F236" i="1"/>
  <c r="E235" i="1"/>
  <c r="F235" i="1"/>
  <c r="E234" i="1"/>
  <c r="F234" i="1"/>
  <c r="E233" i="1"/>
  <c r="F233" i="1"/>
  <c r="E232" i="1"/>
  <c r="F232" i="1"/>
  <c r="E231" i="1"/>
  <c r="F231" i="1"/>
  <c r="E230" i="1"/>
  <c r="F230" i="1"/>
  <c r="E229" i="1"/>
  <c r="F229" i="1"/>
  <c r="E228" i="1"/>
  <c r="F228" i="1"/>
  <c r="E227" i="1"/>
  <c r="F227" i="1"/>
  <c r="E226" i="1"/>
  <c r="F226" i="1"/>
  <c r="E225" i="1"/>
  <c r="F225" i="1"/>
  <c r="E224" i="1"/>
  <c r="F224" i="1"/>
  <c r="E223" i="1"/>
  <c r="F223" i="1"/>
  <c r="E222" i="1"/>
  <c r="F222" i="1"/>
  <c r="E221" i="1"/>
  <c r="F221" i="1"/>
  <c r="E220" i="1"/>
  <c r="F220" i="1"/>
  <c r="E219" i="1"/>
  <c r="F219" i="1"/>
  <c r="E218" i="1"/>
  <c r="F218" i="1"/>
  <c r="E217" i="1"/>
  <c r="F217" i="1"/>
  <c r="E216" i="1"/>
  <c r="F216" i="1"/>
  <c r="E215" i="1"/>
  <c r="F215" i="1"/>
  <c r="E214" i="1"/>
  <c r="F214" i="1"/>
  <c r="E213" i="1"/>
  <c r="F213" i="1"/>
  <c r="E212" i="1"/>
  <c r="F212" i="1"/>
  <c r="E211" i="1"/>
  <c r="F211" i="1"/>
  <c r="E210" i="1"/>
  <c r="F210" i="1"/>
  <c r="E209" i="1"/>
  <c r="F209" i="1"/>
  <c r="E208" i="1"/>
  <c r="F208" i="1"/>
  <c r="E207" i="1"/>
  <c r="F207" i="1"/>
  <c r="E206" i="1"/>
  <c r="F206" i="1"/>
  <c r="E205" i="1"/>
  <c r="F205" i="1"/>
  <c r="E204" i="1"/>
  <c r="F204" i="1"/>
  <c r="E203" i="1"/>
  <c r="F203" i="1"/>
  <c r="E202" i="1"/>
  <c r="F202" i="1"/>
  <c r="E201" i="1"/>
  <c r="F201" i="1"/>
  <c r="E200" i="1"/>
  <c r="F200" i="1"/>
  <c r="E199" i="1"/>
  <c r="F199" i="1"/>
  <c r="E198" i="1"/>
  <c r="F198" i="1"/>
  <c r="E197" i="1"/>
  <c r="F197" i="1"/>
  <c r="E196" i="1"/>
  <c r="F196" i="1"/>
  <c r="E195" i="1"/>
  <c r="F195" i="1"/>
  <c r="E194" i="1"/>
  <c r="F194" i="1"/>
  <c r="E193" i="1"/>
  <c r="F193" i="1"/>
  <c r="E192" i="1"/>
  <c r="F192" i="1"/>
  <c r="E191" i="1"/>
  <c r="F191" i="1"/>
  <c r="E190" i="1"/>
  <c r="F190" i="1"/>
  <c r="E189" i="1"/>
  <c r="F189" i="1"/>
  <c r="E188" i="1"/>
  <c r="F188" i="1"/>
  <c r="E187" i="1"/>
  <c r="F187" i="1"/>
  <c r="E186" i="1"/>
  <c r="F186" i="1"/>
  <c r="E185" i="1"/>
  <c r="F185" i="1"/>
  <c r="E184" i="1"/>
  <c r="F184" i="1"/>
  <c r="E183" i="1"/>
  <c r="F183" i="1"/>
  <c r="E182" i="1"/>
  <c r="F182" i="1"/>
  <c r="E181" i="1"/>
  <c r="F181" i="1"/>
  <c r="E180" i="1"/>
  <c r="F180" i="1"/>
  <c r="E179" i="1"/>
  <c r="F179" i="1"/>
  <c r="E178" i="1"/>
  <c r="F178" i="1"/>
  <c r="E177" i="1"/>
  <c r="F177" i="1"/>
  <c r="E176" i="1"/>
  <c r="F176" i="1"/>
  <c r="E175" i="1"/>
  <c r="F175" i="1"/>
  <c r="E174" i="1"/>
  <c r="F174" i="1"/>
  <c r="E173" i="1"/>
  <c r="F173" i="1"/>
  <c r="E172" i="1"/>
  <c r="F172" i="1"/>
  <c r="E171" i="1"/>
  <c r="F171" i="1"/>
  <c r="E170" i="1"/>
  <c r="F170" i="1"/>
  <c r="E169" i="1"/>
  <c r="F169" i="1"/>
  <c r="E168" i="1"/>
  <c r="F168" i="1"/>
  <c r="E167" i="1"/>
  <c r="F167" i="1"/>
  <c r="E166" i="1"/>
  <c r="F166" i="1"/>
  <c r="E165" i="1"/>
  <c r="F165" i="1"/>
  <c r="E164" i="1"/>
  <c r="F164" i="1"/>
  <c r="E163" i="1"/>
  <c r="F163" i="1"/>
  <c r="E162" i="1"/>
  <c r="F162" i="1"/>
  <c r="E161" i="1"/>
  <c r="F161" i="1"/>
  <c r="E160" i="1"/>
  <c r="F160" i="1"/>
  <c r="E159" i="1"/>
  <c r="F159" i="1"/>
  <c r="E158" i="1"/>
  <c r="F158" i="1"/>
  <c r="E157" i="1"/>
  <c r="F157" i="1"/>
  <c r="E156" i="1"/>
  <c r="F156" i="1"/>
  <c r="E155" i="1"/>
  <c r="F155" i="1"/>
  <c r="E154" i="1"/>
  <c r="F154" i="1"/>
  <c r="E153" i="1"/>
  <c r="F153" i="1"/>
  <c r="E152" i="1"/>
  <c r="F152" i="1"/>
  <c r="E151" i="1"/>
  <c r="F151" i="1"/>
  <c r="E150" i="1"/>
  <c r="F150" i="1"/>
  <c r="E149" i="1"/>
  <c r="F149" i="1"/>
  <c r="E148" i="1"/>
  <c r="F148" i="1"/>
  <c r="E147" i="1"/>
  <c r="F147" i="1"/>
  <c r="E146" i="1"/>
  <c r="F146" i="1"/>
  <c r="E145" i="1"/>
  <c r="F145" i="1"/>
  <c r="E144" i="1"/>
  <c r="F144" i="1"/>
  <c r="E143" i="1"/>
  <c r="F143" i="1"/>
  <c r="E142" i="1"/>
  <c r="F142" i="1"/>
  <c r="E141" i="1"/>
  <c r="F141" i="1"/>
  <c r="E140" i="1"/>
  <c r="F140" i="1"/>
  <c r="E139" i="1"/>
  <c r="F139" i="1"/>
  <c r="E138" i="1"/>
  <c r="F138" i="1"/>
  <c r="E137" i="1"/>
  <c r="F137" i="1"/>
  <c r="E136" i="1"/>
  <c r="F136" i="1"/>
  <c r="E135" i="1"/>
  <c r="F135" i="1"/>
  <c r="E134" i="1"/>
  <c r="F134" i="1"/>
  <c r="E133" i="1"/>
  <c r="F133" i="1"/>
  <c r="E132" i="1"/>
  <c r="F132" i="1"/>
  <c r="E131" i="1"/>
  <c r="F131" i="1"/>
  <c r="E130" i="1"/>
  <c r="F130" i="1"/>
  <c r="E129" i="1"/>
  <c r="F129" i="1"/>
  <c r="E128" i="1"/>
  <c r="F128" i="1"/>
  <c r="E127" i="1"/>
  <c r="F127" i="1"/>
  <c r="E126" i="1"/>
  <c r="F126" i="1"/>
  <c r="E125" i="1"/>
  <c r="F125" i="1"/>
  <c r="E124" i="1"/>
  <c r="F124" i="1"/>
  <c r="E123" i="1"/>
  <c r="F123" i="1"/>
  <c r="E122" i="1"/>
  <c r="F122" i="1"/>
  <c r="E121" i="1"/>
  <c r="F121" i="1"/>
  <c r="E120" i="1"/>
  <c r="F120" i="1"/>
  <c r="E119" i="1"/>
  <c r="F119" i="1"/>
  <c r="E118" i="1"/>
  <c r="F118" i="1"/>
  <c r="E117" i="1"/>
  <c r="F117" i="1"/>
  <c r="E116" i="1"/>
  <c r="F116" i="1"/>
  <c r="E115" i="1"/>
  <c r="F115" i="1"/>
  <c r="E114" i="1"/>
  <c r="F114" i="1"/>
  <c r="E113" i="1"/>
  <c r="F113" i="1"/>
  <c r="E112" i="1"/>
  <c r="F112" i="1"/>
  <c r="E111" i="1"/>
  <c r="F111" i="1"/>
  <c r="E110" i="1"/>
  <c r="F110" i="1"/>
  <c r="E109" i="1"/>
  <c r="F109" i="1"/>
  <c r="E108" i="1"/>
  <c r="F108" i="1"/>
  <c r="E107" i="1"/>
  <c r="F107" i="1"/>
  <c r="E106" i="1"/>
  <c r="F106" i="1"/>
  <c r="E105" i="1"/>
  <c r="F105" i="1"/>
  <c r="E104" i="1"/>
  <c r="F104" i="1"/>
  <c r="E103" i="1"/>
  <c r="F103" i="1"/>
  <c r="E102" i="1"/>
  <c r="F102" i="1"/>
  <c r="E101" i="1"/>
  <c r="F101" i="1"/>
  <c r="E100" i="1"/>
  <c r="F100" i="1"/>
  <c r="E99" i="1"/>
  <c r="F99" i="1"/>
  <c r="E98" i="1"/>
  <c r="F98" i="1"/>
  <c r="E97" i="1"/>
  <c r="F97" i="1"/>
  <c r="E96" i="1"/>
  <c r="F96" i="1"/>
  <c r="E95" i="1"/>
  <c r="F95" i="1"/>
  <c r="E94" i="1"/>
  <c r="F94" i="1"/>
  <c r="E93" i="1"/>
  <c r="F93" i="1"/>
  <c r="E92" i="1"/>
  <c r="F92" i="1"/>
  <c r="E91" i="1"/>
  <c r="F91" i="1"/>
  <c r="E90" i="1"/>
  <c r="F90" i="1"/>
  <c r="E89" i="1"/>
  <c r="F89" i="1"/>
  <c r="E88" i="1"/>
  <c r="F88" i="1"/>
  <c r="E87" i="1"/>
  <c r="F87" i="1"/>
  <c r="E86" i="1"/>
  <c r="F86" i="1"/>
  <c r="E85" i="1"/>
  <c r="F85" i="1"/>
  <c r="E84" i="1"/>
  <c r="F84" i="1"/>
  <c r="E83" i="1"/>
  <c r="F83" i="1"/>
  <c r="E82" i="1"/>
  <c r="F82" i="1"/>
  <c r="E81" i="1"/>
  <c r="F81" i="1"/>
  <c r="E80" i="1"/>
  <c r="F80" i="1"/>
  <c r="E79" i="1"/>
  <c r="F79" i="1"/>
  <c r="E78" i="1"/>
  <c r="F78" i="1"/>
  <c r="E77" i="1"/>
  <c r="F77" i="1"/>
  <c r="E76" i="1"/>
  <c r="F76" i="1"/>
  <c r="E75" i="1"/>
  <c r="F75" i="1"/>
  <c r="E74" i="1"/>
  <c r="F74" i="1"/>
  <c r="E73" i="1"/>
  <c r="F73" i="1"/>
  <c r="E72" i="1"/>
  <c r="F72" i="1"/>
  <c r="E71" i="1"/>
  <c r="F71" i="1"/>
  <c r="E70" i="1"/>
  <c r="F70" i="1"/>
  <c r="E69" i="1"/>
  <c r="F69" i="1"/>
  <c r="E68" i="1"/>
  <c r="F68" i="1"/>
  <c r="E67" i="1"/>
  <c r="F67" i="1"/>
  <c r="E66" i="1"/>
  <c r="F66" i="1"/>
  <c r="E65" i="1"/>
  <c r="F65" i="1"/>
  <c r="E64" i="1"/>
  <c r="F64" i="1"/>
  <c r="E63" i="1"/>
  <c r="F63" i="1"/>
  <c r="E62" i="1"/>
  <c r="F62" i="1"/>
  <c r="E61" i="1"/>
  <c r="F61" i="1"/>
  <c r="E60" i="1"/>
  <c r="F60" i="1"/>
  <c r="E59" i="1"/>
  <c r="F59" i="1"/>
  <c r="E58" i="1"/>
  <c r="F58" i="1"/>
  <c r="E57" i="1"/>
  <c r="F57" i="1"/>
  <c r="E56" i="1"/>
  <c r="F56" i="1"/>
  <c r="E55" i="1"/>
  <c r="F55" i="1"/>
  <c r="E54" i="1"/>
  <c r="F54" i="1"/>
  <c r="E53" i="1"/>
  <c r="F53" i="1"/>
  <c r="E52" i="1"/>
  <c r="F52" i="1"/>
  <c r="E51" i="1"/>
  <c r="F51" i="1"/>
  <c r="E50" i="1"/>
  <c r="F50" i="1"/>
  <c r="E49" i="1"/>
  <c r="F49" i="1"/>
  <c r="E48" i="1"/>
  <c r="F48" i="1"/>
  <c r="E47" i="1"/>
  <c r="F47" i="1"/>
  <c r="E46" i="1"/>
  <c r="F46" i="1"/>
  <c r="E45" i="1"/>
  <c r="F45" i="1"/>
  <c r="E44" i="1"/>
  <c r="F44" i="1"/>
  <c r="E43" i="1"/>
  <c r="F43" i="1"/>
  <c r="E42" i="1"/>
  <c r="F42" i="1"/>
  <c r="E41" i="1"/>
  <c r="F41" i="1"/>
  <c r="E40" i="1"/>
  <c r="F40" i="1"/>
  <c r="E39" i="1"/>
  <c r="F39" i="1"/>
  <c r="E38" i="1"/>
  <c r="F38" i="1"/>
  <c r="E37" i="1"/>
  <c r="F37" i="1"/>
  <c r="E36" i="1"/>
  <c r="F36" i="1"/>
  <c r="E35" i="1"/>
  <c r="F35" i="1"/>
  <c r="E34" i="1"/>
  <c r="F34" i="1"/>
  <c r="E33" i="1"/>
  <c r="F33" i="1"/>
  <c r="E32" i="1"/>
  <c r="F32" i="1"/>
  <c r="E31" i="1"/>
  <c r="F31" i="1"/>
  <c r="E30" i="1"/>
  <c r="F30" i="1"/>
  <c r="E29" i="1"/>
  <c r="F29" i="1"/>
  <c r="E28" i="1"/>
  <c r="F28" i="1"/>
  <c r="E27" i="1"/>
  <c r="F27" i="1"/>
  <c r="E26" i="1"/>
  <c r="F26" i="1"/>
  <c r="E25" i="1"/>
  <c r="F25" i="1"/>
  <c r="E24" i="1"/>
  <c r="F24" i="1"/>
  <c r="E23" i="1"/>
  <c r="F23" i="1"/>
  <c r="E22" i="1"/>
  <c r="F22" i="1"/>
  <c r="E21" i="1"/>
  <c r="F21" i="1"/>
  <c r="E20" i="1"/>
  <c r="F20" i="1"/>
  <c r="E19" i="1"/>
  <c r="F19" i="1"/>
  <c r="E18" i="1"/>
  <c r="F18" i="1"/>
  <c r="E17" i="1"/>
  <c r="F17" i="1"/>
  <c r="E16" i="1"/>
  <c r="F16" i="1"/>
  <c r="E15" i="1"/>
  <c r="F15" i="1"/>
  <c r="E14" i="1"/>
  <c r="E316" i="1"/>
  <c r="G3" i="6" l="1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H256" i="6" s="1"/>
  <c r="H257" i="6" s="1"/>
  <c r="H258" i="6" s="1"/>
  <c r="H259" i="6" s="1"/>
  <c r="H260" i="6" s="1"/>
  <c r="H261" i="6" s="1"/>
  <c r="H262" i="6" s="1"/>
  <c r="H263" i="6" s="1"/>
  <c r="H264" i="6" s="1"/>
  <c r="H265" i="6" s="1"/>
  <c r="H266" i="6" s="1"/>
  <c r="H267" i="6" s="1"/>
  <c r="H268" i="6" s="1"/>
  <c r="H269" i="6" s="1"/>
  <c r="H270" i="6" s="1"/>
  <c r="H271" i="6" s="1"/>
  <c r="H272" i="6" s="1"/>
  <c r="H273" i="6" s="1"/>
  <c r="H274" i="6" s="1"/>
  <c r="H275" i="6" s="1"/>
  <c r="H276" i="6" s="1"/>
  <c r="H277" i="6" s="1"/>
  <c r="H278" i="6" s="1"/>
  <c r="H279" i="6" s="1"/>
  <c r="H280" i="6" s="1"/>
  <c r="H281" i="6" s="1"/>
  <c r="H282" i="6" s="1"/>
  <c r="H283" i="6" s="1"/>
  <c r="H284" i="6" s="1"/>
  <c r="H285" i="6" s="1"/>
  <c r="H286" i="6" s="1"/>
  <c r="H287" i="6" s="1"/>
  <c r="H288" i="6" s="1"/>
  <c r="H289" i="6" s="1"/>
  <c r="H290" i="6" s="1"/>
  <c r="H291" i="6" s="1"/>
  <c r="H292" i="6" s="1"/>
  <c r="H293" i="6" s="1"/>
  <c r="H294" i="6" s="1"/>
  <c r="H295" i="6" s="1"/>
  <c r="H296" i="6" s="1"/>
  <c r="H297" i="6" s="1"/>
  <c r="H298" i="6" s="1"/>
  <c r="H299" i="6" s="1"/>
  <c r="H300" i="6" s="1"/>
  <c r="H301" i="6" s="1"/>
  <c r="H302" i="6" s="1"/>
  <c r="H303" i="6" s="1"/>
  <c r="H304" i="6" s="1"/>
  <c r="H3" i="6" l="1"/>
  <c r="E3" i="6" l="1"/>
  <c r="F9" i="1" l="1"/>
  <c r="E9" i="1"/>
  <c r="D9" i="1" l="1"/>
  <c r="J9" i="1" s="1"/>
  <c r="J10" i="1" s="1"/>
  <c r="F14" i="1" l="1"/>
  <c r="B4" i="1" l="1"/>
  <c r="B319" i="1" l="1"/>
</calcChain>
</file>

<file path=xl/sharedStrings.xml><?xml version="1.0" encoding="utf-8"?>
<sst xmlns="http://schemas.openxmlformats.org/spreadsheetml/2006/main" count="1258" uniqueCount="650">
  <si>
    <t>Date formation :</t>
  </si>
  <si>
    <t>Lieu formation :</t>
  </si>
  <si>
    <t xml:space="preserve">Animateur : </t>
  </si>
  <si>
    <t>Nom</t>
  </si>
  <si>
    <t>Prénom</t>
  </si>
  <si>
    <t>Société</t>
  </si>
  <si>
    <t>Résultat</t>
  </si>
  <si>
    <t>Remarques</t>
  </si>
  <si>
    <t>Type Traitement</t>
  </si>
  <si>
    <t>Niveau requête</t>
  </si>
  <si>
    <t>Standard (avec zone nommée)</t>
  </si>
  <si>
    <t>Spécifique</t>
  </si>
  <si>
    <t>Standard rupture (avec gestion de ruptures)</t>
  </si>
  <si>
    <t>Standard 2ème génération</t>
  </si>
  <si>
    <t>Type modèle</t>
  </si>
  <si>
    <t>Individuel</t>
  </si>
  <si>
    <t>Collectif</t>
  </si>
  <si>
    <t>Presence</t>
  </si>
  <si>
    <t>1 enregistrement /Personne</t>
  </si>
  <si>
    <t>1 enregistrement /Personne et par Question</t>
  </si>
  <si>
    <t>1 enregistrement /Personne et réponse possible sur la question</t>
  </si>
  <si>
    <t>Synthèse plusieurs questionnaires : 1 enregistrement /Personne, score pour 1 questionnaire</t>
  </si>
  <si>
    <t>Synthèse multi sessions -&gt; 1 enreg / personne / questionnaire avec info score sur multi sessions et multi questionnaires</t>
  </si>
  <si>
    <t>Détail thème -&gt; 1 enreg par personne et par thème</t>
  </si>
  <si>
    <t>Détail réponse -&gt; 1 enreg / réponse pour le groupe</t>
  </si>
  <si>
    <t>Détail réponse -&gt; 1 enreg / personne et par réponse avec les moyennes du groupe</t>
  </si>
  <si>
    <t>Date test :</t>
  </si>
  <si>
    <t>TYPE_TRAITEMENT</t>
  </si>
  <si>
    <t>TYPE_MODELE</t>
  </si>
  <si>
    <t>NIV_REQUETE</t>
  </si>
  <si>
    <t>PLUSIEURS_FICHIERS</t>
  </si>
  <si>
    <t>VERSION</t>
  </si>
  <si>
    <t>MULTI_SESSION</t>
  </si>
  <si>
    <t>TRI</t>
  </si>
  <si>
    <t>PROGRESSION</t>
  </si>
  <si>
    <t>DEFAUT</t>
  </si>
  <si>
    <t>FILTRE</t>
  </si>
  <si>
    <t xml:space="preserve">Formation : </t>
  </si>
  <si>
    <t>Décision</t>
  </si>
  <si>
    <t>Nb Stagiaires :</t>
  </si>
  <si>
    <t>Moyenne</t>
  </si>
  <si>
    <t>Note Max</t>
  </si>
  <si>
    <t>Note Mini</t>
  </si>
  <si>
    <t>Quizzbox</t>
  </si>
  <si>
    <t xml:space="preserve">02/03/2024 - </t>
  </si>
  <si>
    <t>EE BIO 211_S3_2023-2024</t>
  </si>
  <si>
    <t>ANGOULOUMOU VOUNSOUMA WEIDOU</t>
  </si>
  <si>
    <t>22T2463</t>
  </si>
  <si>
    <t>Colonne1</t>
  </si>
  <si>
    <t>Colonne2</t>
  </si>
  <si>
    <t>KOUOH PROWO ANGE DANIEL</t>
  </si>
  <si>
    <t>22Q2595</t>
  </si>
  <si>
    <t>MAFO OKILI OLIVIA GRACIA</t>
  </si>
  <si>
    <t>22T2024</t>
  </si>
  <si>
    <t>ATYAME BOMO ANGE MANUELA</t>
  </si>
  <si>
    <t>22V2906</t>
  </si>
  <si>
    <t>BOITIER0813</t>
  </si>
  <si>
    <t>MBARGA ANNE SANDRA</t>
  </si>
  <si>
    <t>22N2105</t>
  </si>
  <si>
    <t>MICHAËL MBAINAIMOU REOUTAR</t>
  </si>
  <si>
    <t>22U2539</t>
  </si>
  <si>
    <t>MAKALKAZINA ALLANGVOUNANG JOSEPH</t>
  </si>
  <si>
    <t>21S2434</t>
  </si>
  <si>
    <t>MOULIOM PEMBORA ROUFEYDA</t>
  </si>
  <si>
    <t>22O2205</t>
  </si>
  <si>
    <t>DAYA NYAMGWE NICAISE DANIELLE</t>
  </si>
  <si>
    <t>22O2796</t>
  </si>
  <si>
    <t>DEMANOU FOUEDJEU RUTH ESPERANCE</t>
  </si>
  <si>
    <t>22O2166</t>
  </si>
  <si>
    <t>GUIMDO TSAFACK MALCOM DONAL</t>
  </si>
  <si>
    <t>22Q2912</t>
  </si>
  <si>
    <t>KOLONA SALINA SYLVAIN</t>
  </si>
  <si>
    <t>22U2470</t>
  </si>
  <si>
    <t>DAPSIA KANU ELISEE</t>
  </si>
  <si>
    <t>22T2490</t>
  </si>
  <si>
    <t>ESSONO MENYOU LEONCE MARILYN</t>
  </si>
  <si>
    <t>22V2586</t>
  </si>
  <si>
    <t>DIEFOUO-DJIMDIE BILIOS-DEVIS</t>
  </si>
  <si>
    <t>22N2543</t>
  </si>
  <si>
    <t>DADI CHRISTOPHE</t>
  </si>
  <si>
    <t>22T2201</t>
  </si>
  <si>
    <t>AMOUGOU AKOA NOEL CHRISTIAN</t>
  </si>
  <si>
    <t>22L2851</t>
  </si>
  <si>
    <t>ABDOULAYE ADOUM YOUSSOUF</t>
  </si>
  <si>
    <t>22K2959</t>
  </si>
  <si>
    <t>BITEP II LUC FLOBERT FREDY</t>
  </si>
  <si>
    <t>22Q2976</t>
  </si>
  <si>
    <t>LEKA SANDRINE BIBONO</t>
  </si>
  <si>
    <t>22S2084</t>
  </si>
  <si>
    <t>BELINGA MFOUMOU PAULIN URIEL</t>
  </si>
  <si>
    <t>22S2873</t>
  </si>
  <si>
    <t>MOUSTAPHA DAOUD MEHADINE</t>
  </si>
  <si>
    <t>22V2176</t>
  </si>
  <si>
    <t>BIG-BILL PROCORD ESSONO NGUEMA</t>
  </si>
  <si>
    <t>22R2486</t>
  </si>
  <si>
    <t>MEMANA ESSOLA MICHELLE</t>
  </si>
  <si>
    <t>22O2046</t>
  </si>
  <si>
    <t>ADA NDZANA CHRISTINE FLORA</t>
  </si>
  <si>
    <t>21Q2841</t>
  </si>
  <si>
    <t>BIPA III BARBARA MARIE</t>
  </si>
  <si>
    <t>22T2007</t>
  </si>
  <si>
    <t>MEGANKAM NZODJO YOLANDE GERALDINE</t>
  </si>
  <si>
    <t>22S2330</t>
  </si>
  <si>
    <t>JOLIO MELI CHIVAROLE</t>
  </si>
  <si>
    <t>22K2895</t>
  </si>
  <si>
    <t>BEMELINGUINE OHOUO ZAVERIE PRISCA</t>
  </si>
  <si>
    <t>22K2733</t>
  </si>
  <si>
    <t>MALON GARCON</t>
  </si>
  <si>
    <t>22U2545</t>
  </si>
  <si>
    <t>BOUBAKARY DANNA</t>
  </si>
  <si>
    <t>22S2299</t>
  </si>
  <si>
    <t>ALBECHIR ALKHALI ALHAFIZ</t>
  </si>
  <si>
    <t>22U2833</t>
  </si>
  <si>
    <t>AISSATOU ABDOULAYE</t>
  </si>
  <si>
    <t>22O2065</t>
  </si>
  <si>
    <t xml:space="preserve">MENGUENE ETEME STEVE </t>
  </si>
  <si>
    <t>19A2194</t>
  </si>
  <si>
    <t>BEUFOUTCHAM SINYABE ARNAUD</t>
  </si>
  <si>
    <t>22K2813</t>
  </si>
  <si>
    <t>IAMSU LEUMADJEU LUCRESSE</t>
  </si>
  <si>
    <t>22S2424</t>
  </si>
  <si>
    <t xml:space="preserve">DOAW MANUELLA </t>
  </si>
  <si>
    <t>20R2903</t>
  </si>
  <si>
    <t>BOULIA OBILA YVANNA</t>
  </si>
  <si>
    <t>22K2832</t>
  </si>
  <si>
    <t>DJATCHEU NZEUKOU GWLADYS LAURE</t>
  </si>
  <si>
    <t>22T2362</t>
  </si>
  <si>
    <t>MVELE ZAMA ROSALIE DAREINE</t>
  </si>
  <si>
    <t>22O2806</t>
  </si>
  <si>
    <t>EZECHIEL NOHRA LA VICTOIRE</t>
  </si>
  <si>
    <t>21N2732</t>
  </si>
  <si>
    <t>KOPYEP SEUTCHIE JUNIE</t>
  </si>
  <si>
    <t>22T2649</t>
  </si>
  <si>
    <t>DZOJEU SOKAMTE JOVIAL ARNAUD</t>
  </si>
  <si>
    <t>22L2753</t>
  </si>
  <si>
    <t>KAMGA ANGE MYRIAM</t>
  </si>
  <si>
    <t>22N2650</t>
  </si>
  <si>
    <t>BAHANE YOLANDE</t>
  </si>
  <si>
    <t>22K2698</t>
  </si>
  <si>
    <t>BELIBI JEAN BAPTISTE</t>
  </si>
  <si>
    <t>21L2431</t>
  </si>
  <si>
    <t>BAYANG DOUNIA CELESTIN</t>
  </si>
  <si>
    <t>22K2303</t>
  </si>
  <si>
    <t>DJIMADOUM DJINGAMLAR</t>
  </si>
  <si>
    <t>22T2754</t>
  </si>
  <si>
    <t>EKONDE EUNICE SERAKH</t>
  </si>
  <si>
    <t>22S2814</t>
  </si>
  <si>
    <t>MBAÏHODJI DJESSANDJIM OSEE</t>
  </si>
  <si>
    <t>22U2607</t>
  </si>
  <si>
    <t>ABDELBASSI BALLE TABOYE</t>
  </si>
  <si>
    <t xml:space="preserve"> </t>
  </si>
  <si>
    <t>GWET MATIP ANGE SAMY</t>
  </si>
  <si>
    <t>22K2237</t>
  </si>
  <si>
    <t>MAMADOU DJIMET</t>
  </si>
  <si>
    <t>22T2626</t>
  </si>
  <si>
    <t>BREKMO MATHIEU</t>
  </si>
  <si>
    <t>22S2859</t>
  </si>
  <si>
    <t>MONGO NYETAM FLORA LESLY M.</t>
  </si>
  <si>
    <t>22N2205</t>
  </si>
  <si>
    <t>ESSIMI MOLO JEAN JOEL</t>
  </si>
  <si>
    <t>22O2952</t>
  </si>
  <si>
    <t>AKAMBA BRENDA COLLINS</t>
  </si>
  <si>
    <t>22N2341</t>
  </si>
  <si>
    <t xml:space="preserve">MENDANDI HOULIBELE </t>
  </si>
  <si>
    <t>20N2438</t>
  </si>
  <si>
    <t>JEDJOU KEPGANG IDYL</t>
  </si>
  <si>
    <t>22L2477</t>
  </si>
  <si>
    <t>ADJAP ELANGA DIMITRY ROUSSEAU</t>
  </si>
  <si>
    <t>21L2608</t>
  </si>
  <si>
    <t>APOUMA MORELLE</t>
  </si>
  <si>
    <t>22K2370</t>
  </si>
  <si>
    <t>BAYANG VOULOUMDI LEONARD</t>
  </si>
  <si>
    <t>20T2737</t>
  </si>
  <si>
    <t>BELLO KAMDEM ADAMOU</t>
  </si>
  <si>
    <t>22Q2866</t>
  </si>
  <si>
    <t>BOUTY BELACK SYNTICHE LETICIA</t>
  </si>
  <si>
    <t>22L2786</t>
  </si>
  <si>
    <t>IBRAHIM MAHAMAT ABDOULAYE</t>
  </si>
  <si>
    <t>22T2031</t>
  </si>
  <si>
    <t xml:space="preserve">KONOULIONE WOUAFFO </t>
  </si>
  <si>
    <t>21L2511</t>
  </si>
  <si>
    <t>ABDOULAYE DJIDDA DANNA</t>
  </si>
  <si>
    <t>22W2291</t>
  </si>
  <si>
    <t>AYANG DANKREO ELIE</t>
  </si>
  <si>
    <t>22K2838</t>
  </si>
  <si>
    <t>MINKOMA MBATA ARMANDE CARNEL</t>
  </si>
  <si>
    <t>22L2939</t>
  </si>
  <si>
    <t>MANDENG ELISABETH CARLA LESLIE</t>
  </si>
  <si>
    <t>22R2632</t>
  </si>
  <si>
    <t>DEUNON DJINET</t>
  </si>
  <si>
    <t>22S2683</t>
  </si>
  <si>
    <t>DJIFACK NGUETSACK JORES IVAN</t>
  </si>
  <si>
    <t>22N2101</t>
  </si>
  <si>
    <t>MBALLA ABOH LETICIA AUDREY</t>
  </si>
  <si>
    <t>22T2655</t>
  </si>
  <si>
    <t>MASSALA TAOSSAM EDOUARD</t>
  </si>
  <si>
    <t>21N2077</t>
  </si>
  <si>
    <t>LIHAN ELEANORE NICAISE</t>
  </si>
  <si>
    <t>21N2404</t>
  </si>
  <si>
    <t>BAPOUNG LAOUNG</t>
  </si>
  <si>
    <t>22V2941</t>
  </si>
  <si>
    <t>ETOUNDI PASCAL ARNAULD</t>
  </si>
  <si>
    <t>22O2041</t>
  </si>
  <si>
    <t>BOITIER0940</t>
  </si>
  <si>
    <t xml:space="preserve">ESSOMBA BALLA CLAUDE </t>
  </si>
  <si>
    <t>21N2046</t>
  </si>
  <si>
    <t>AZEMFACK NGUEDONG BRUXELLES EWERTHON</t>
  </si>
  <si>
    <t>22K2951</t>
  </si>
  <si>
    <t>MAGNE TOCHE TATIANA</t>
  </si>
  <si>
    <t>19C2681</t>
  </si>
  <si>
    <t>ANDELA OLONGO SIDONIE HILARY</t>
  </si>
  <si>
    <t>22Q2042</t>
  </si>
  <si>
    <t>BIKOND EVELYNE JOELLE</t>
  </si>
  <si>
    <t>22L2146</t>
  </si>
  <si>
    <t>DAVY KARL ADJOMO</t>
  </si>
  <si>
    <t>22N2336</t>
  </si>
  <si>
    <t>ELANGA HORNELA JUSLEINE</t>
  </si>
  <si>
    <t>22S2782</t>
  </si>
  <si>
    <t>KENGNE KAMSAP PRINCE-RICANEL</t>
  </si>
  <si>
    <t>22Q2554</t>
  </si>
  <si>
    <t>BABONG GOGBELE FELIX</t>
  </si>
  <si>
    <t>22L2930</t>
  </si>
  <si>
    <t>BENGONO BENGONO BONIFACE VITAL</t>
  </si>
  <si>
    <t>22Q2385</t>
  </si>
  <si>
    <t>EBOH EKOUMA GLADYS</t>
  </si>
  <si>
    <t>22N2108</t>
  </si>
  <si>
    <t>ENYEGUE ONANA CLOTILDE DIANE</t>
  </si>
  <si>
    <t>22L2097</t>
  </si>
  <si>
    <t xml:space="preserve">EBONO TSIMI </t>
  </si>
  <si>
    <t>20K2972</t>
  </si>
  <si>
    <t xml:space="preserve">MENYE OHANA CELINE </t>
  </si>
  <si>
    <t>19U2404</t>
  </si>
  <si>
    <t>MBOUA NKOT MBOUA ACHILLE LEGRAND</t>
  </si>
  <si>
    <t>22T2608</t>
  </si>
  <si>
    <t>ABBY BRYSON DALSIMENTO</t>
  </si>
  <si>
    <t>22N2089</t>
  </si>
  <si>
    <t>BALARABE YOUNOUSSA</t>
  </si>
  <si>
    <t>22S2799</t>
  </si>
  <si>
    <t>MODJO MYRIAM VANELLE</t>
  </si>
  <si>
    <t>21L2523</t>
  </si>
  <si>
    <t>MBAIRANE CEDRICK</t>
  </si>
  <si>
    <t>22S2762</t>
  </si>
  <si>
    <t>MOREMEM CROYANCE TODJIDE</t>
  </si>
  <si>
    <t>22T2636</t>
  </si>
  <si>
    <t>DEFALLAH YOUSSOUF MAHAMAT</t>
  </si>
  <si>
    <t>22T2004</t>
  </si>
  <si>
    <t>AYANGPELNA BAGOTCHING LUC</t>
  </si>
  <si>
    <t>22O2754</t>
  </si>
  <si>
    <t>CIZAWO TALACK ELTON</t>
  </si>
  <si>
    <t>21N2216</t>
  </si>
  <si>
    <t>MAGOUI RAISSA KEVINE</t>
  </si>
  <si>
    <t>22L2112</t>
  </si>
  <si>
    <t>KITIO DONFACK JELLY ANGE</t>
  </si>
  <si>
    <t>22O2775</t>
  </si>
  <si>
    <t>FOGUE MEGNIZEU LAURA</t>
  </si>
  <si>
    <t>22O2421</t>
  </si>
  <si>
    <t>JIOLO LOÏC JORDAN</t>
  </si>
  <si>
    <t>22R2315</t>
  </si>
  <si>
    <t>EYENGA MBOA SIMON EMMANUEL</t>
  </si>
  <si>
    <t>22O2214</t>
  </si>
  <si>
    <t>MALIKI BARE</t>
  </si>
  <si>
    <t>22N2744</t>
  </si>
  <si>
    <t>AMALIA JULIE CANELLE AVOULOU</t>
  </si>
  <si>
    <t>22K2368</t>
  </si>
  <si>
    <t>AYAMBI DAMBALI WARYAKA</t>
  </si>
  <si>
    <t>22V2066</t>
  </si>
  <si>
    <t>BELINGA PHILIPPE MOREL LEGRAND</t>
  </si>
  <si>
    <t>22R2482</t>
  </si>
  <si>
    <t>MBAIREBE FRANCIS</t>
  </si>
  <si>
    <t>22U2466</t>
  </si>
  <si>
    <t>MANUWALA LEA PRISCA</t>
  </si>
  <si>
    <t>22R2953</t>
  </si>
  <si>
    <t>MABAH DJOUFO ALVINE SONIA</t>
  </si>
  <si>
    <t>22N2097</t>
  </si>
  <si>
    <t>AWOUATSA KENDJI ULRICH</t>
  </si>
  <si>
    <t>22R2236</t>
  </si>
  <si>
    <t>LIMBENG ELISE PROMESSE</t>
  </si>
  <si>
    <t>22T2321</t>
  </si>
  <si>
    <t>KOUOTANG TAMBO LEONEL</t>
  </si>
  <si>
    <t>22Q2440</t>
  </si>
  <si>
    <t>MANGA BESSALA MADELEINE ABIGAËL</t>
  </si>
  <si>
    <t>22N2932</t>
  </si>
  <si>
    <t>EKOMO EKO RODOLPHE</t>
  </si>
  <si>
    <t>21S2922</t>
  </si>
  <si>
    <t>DOUDJIMBAYE MBAINAM NARCISSE</t>
  </si>
  <si>
    <t>22S2090</t>
  </si>
  <si>
    <t xml:space="preserve">AOUDOU KANO MOUSSA </t>
  </si>
  <si>
    <t>22S2589</t>
  </si>
  <si>
    <t>BELINGA ONDOUA DIANDRA TSAGUE JOHANNA</t>
  </si>
  <si>
    <t>22S2964</t>
  </si>
  <si>
    <t>BAH MBANI CHANCELOR MARINETTE</t>
  </si>
  <si>
    <t>22R2470</t>
  </si>
  <si>
    <t>BAPPACK FRANCE CELESTINE CHLOE</t>
  </si>
  <si>
    <t>22L2416</t>
  </si>
  <si>
    <t>MAZO TATCHINKOU FLORA</t>
  </si>
  <si>
    <t>22N2610</t>
  </si>
  <si>
    <t>BIDIAS MINLONG GINA FRANCESCA</t>
  </si>
  <si>
    <t>21L2220</t>
  </si>
  <si>
    <t>MEDJO MEKOULA MARIE BLANCHE</t>
  </si>
  <si>
    <t>22N2960</t>
  </si>
  <si>
    <t>MVINDI TINA ULRICH</t>
  </si>
  <si>
    <t>22Q2997</t>
  </si>
  <si>
    <t>BALLA OWONA GUY LANDRY</t>
  </si>
  <si>
    <t>22K2667</t>
  </si>
  <si>
    <t>IDRISS RAMABHAN EL DALHAT</t>
  </si>
  <si>
    <t>22Q2856</t>
  </si>
  <si>
    <t>MBARGA NADIA JOANNE VANESSA</t>
  </si>
  <si>
    <t>22R2351</t>
  </si>
  <si>
    <t>MBAIRANE LEONEL JOSPIN</t>
  </si>
  <si>
    <t>21T2102</t>
  </si>
  <si>
    <t>JOB DOURWE KAO MAGANDANDI</t>
  </si>
  <si>
    <t>21N2628</t>
  </si>
  <si>
    <t>KENFACK MAËVA</t>
  </si>
  <si>
    <t>22O2836</t>
  </si>
  <si>
    <t>DJOITONANTE KOUMTIBAYE CHRISTIAN</t>
  </si>
  <si>
    <t>22V2824</t>
  </si>
  <si>
    <t>CHUAKO TOUCHOKO YLARIE</t>
  </si>
  <si>
    <t>22N2176</t>
  </si>
  <si>
    <t>LOUNGA EKAMBANG HUGUES</t>
  </si>
  <si>
    <t>20O2348</t>
  </si>
  <si>
    <t>MENYENGA EQUILIANE DAVILA</t>
  </si>
  <si>
    <t>21N2939</t>
  </si>
  <si>
    <t>ABDOURAMAN HAYATOU</t>
  </si>
  <si>
    <t>21R2169</t>
  </si>
  <si>
    <t>MONTHE NGADJE LAURAINE DANIELLE</t>
  </si>
  <si>
    <t>22Q2111</t>
  </si>
  <si>
    <t>ALAFI MBOULI ABRAHAM</t>
  </si>
  <si>
    <t>21L2803</t>
  </si>
  <si>
    <t>FOUOKEM TADJIOFOUO BELVIANE</t>
  </si>
  <si>
    <t>22S2504</t>
  </si>
  <si>
    <t>MBAPA NGONO GISLAINE</t>
  </si>
  <si>
    <t>22T2408</t>
  </si>
  <si>
    <t>MABESSI MOLEMO YVANA FAELLE</t>
  </si>
  <si>
    <t>22S2321</t>
  </si>
  <si>
    <t>BEHASSEMDA AZOR</t>
  </si>
  <si>
    <t>22K2265</t>
  </si>
  <si>
    <t>KEPSEU MBAKOUE LOÏC WILFRIED</t>
  </si>
  <si>
    <t>22T2106</t>
  </si>
  <si>
    <t>BLANE BIENVENU BEL-BANG</t>
  </si>
  <si>
    <t>22Q2001</t>
  </si>
  <si>
    <t>MANGOO BEYE ARIANE CHAD CHELA</t>
  </si>
  <si>
    <t>21S2572</t>
  </si>
  <si>
    <t>LINAMAMOU BAROU</t>
  </si>
  <si>
    <t>22T2487</t>
  </si>
  <si>
    <t>MAHAMAT ABDELKERIM FOT</t>
  </si>
  <si>
    <t>22V2558</t>
  </si>
  <si>
    <t>MOUGAROH KOUDHAYELDE ENOCK</t>
  </si>
  <si>
    <t>22V2097</t>
  </si>
  <si>
    <t>ABDRAMANE ADOUM ABAKAR</t>
  </si>
  <si>
    <t>22V2583</t>
  </si>
  <si>
    <t>DJOUPOUO NOCHI LUDIVINE FLORE</t>
  </si>
  <si>
    <t>22R2263</t>
  </si>
  <si>
    <t>GUINDJA TYO GALI</t>
  </si>
  <si>
    <t>22K2282</t>
  </si>
  <si>
    <t>ABENG THAMAR JENNY</t>
  </si>
  <si>
    <t>20L2203</t>
  </si>
  <si>
    <t>AMBOMO BELIBI JUSTIN STEPHANE MIGELE</t>
  </si>
  <si>
    <t>21O2007</t>
  </si>
  <si>
    <t>ARNOLD ROUDOLPHE MOUSSADI EYANGO</t>
  </si>
  <si>
    <t>22K2774</t>
  </si>
  <si>
    <t>DACHIEU WEDJE AUDE</t>
  </si>
  <si>
    <t>20L2921</t>
  </si>
  <si>
    <t>BEYENE VINCENT JUNIOR</t>
  </si>
  <si>
    <t>19R2214</t>
  </si>
  <si>
    <t>BABAYANA DORETTE</t>
  </si>
  <si>
    <t>22O2915</t>
  </si>
  <si>
    <t>LOUNA SAMAYASSOU LUC</t>
  </si>
  <si>
    <t>22S2642</t>
  </si>
  <si>
    <t>EZEMBE MVONDO EDWIGE CLAIRE</t>
  </si>
  <si>
    <t>22N2653</t>
  </si>
  <si>
    <t>MADJI EDITH AVELINA</t>
  </si>
  <si>
    <t>22S2549</t>
  </si>
  <si>
    <t>MVODO LAURENE</t>
  </si>
  <si>
    <t>22N2313</t>
  </si>
  <si>
    <t>ALLO MANGA EDOUARD</t>
  </si>
  <si>
    <t>22L2942</t>
  </si>
  <si>
    <t>ASSIBA TEBERODJE I HERVE</t>
  </si>
  <si>
    <t>22R2661</t>
  </si>
  <si>
    <t>MOGUEM MBARGA LYNE</t>
  </si>
  <si>
    <t>22U2914</t>
  </si>
  <si>
    <t>DIFFOUO FOUODJIO CHYNAIDA</t>
  </si>
  <si>
    <t>22N2180</t>
  </si>
  <si>
    <t>ALLAMINE ABDRAMANE CHAÏB</t>
  </si>
  <si>
    <t>22S2863</t>
  </si>
  <si>
    <t>FOKA FOWA LIONEL</t>
  </si>
  <si>
    <t>23V2750</t>
  </si>
  <si>
    <t>LONTSI TIOMELA LEA</t>
  </si>
  <si>
    <t>22S2997</t>
  </si>
  <si>
    <t>FOKOU BIDIAS CAREL</t>
  </si>
  <si>
    <t>22N2295</t>
  </si>
  <si>
    <t>CHELSOUBE PASSORET</t>
  </si>
  <si>
    <t>22R2450</t>
  </si>
  <si>
    <t>EPANDA EPOH RODDY PAVEL</t>
  </si>
  <si>
    <t>21N2661</t>
  </si>
  <si>
    <t>AVOUDA TAB VANG-LET</t>
  </si>
  <si>
    <t>22U2472</t>
  </si>
  <si>
    <t>ANGUI NDOCKSANDJA PAUL RICKIEL</t>
  </si>
  <si>
    <t>22L2915</t>
  </si>
  <si>
    <t>KOUNA ESSOMBA FLEURY MAURINE</t>
  </si>
  <si>
    <t>22V2999</t>
  </si>
  <si>
    <t>CHIKEZIE DIVINE MIRACLE IKECHUKWU</t>
  </si>
  <si>
    <t>22R2987</t>
  </si>
  <si>
    <t>DJOMO YANNICK</t>
  </si>
  <si>
    <t>20K2773</t>
  </si>
  <si>
    <t xml:space="preserve">EYINGA NKOO </t>
  </si>
  <si>
    <t>20S2575</t>
  </si>
  <si>
    <t>LANING TATANG FRANCK VALDES</t>
  </si>
  <si>
    <t>22N2580</t>
  </si>
  <si>
    <t>MEGNIGANG JIONGO D. MEGANE</t>
  </si>
  <si>
    <t>22Q2151</t>
  </si>
  <si>
    <t>HONA BAHITA ADÈLE LAURIS</t>
  </si>
  <si>
    <t>22K2939</t>
  </si>
  <si>
    <t>CHRIST-ROI SAINGAR</t>
  </si>
  <si>
    <t>22U2694</t>
  </si>
  <si>
    <t>ASIMO FREDDY WILLEM</t>
  </si>
  <si>
    <t>22N2588</t>
  </si>
  <si>
    <t>MOUTASSIM BECHIR MAHAMAT</t>
  </si>
  <si>
    <t>22O2761</t>
  </si>
  <si>
    <t>KOMENGDI TARAMBAYE ARNAUD</t>
  </si>
  <si>
    <t>22V2463</t>
  </si>
  <si>
    <t>DJETATOROMBAYE MBAÏGUEDEM</t>
  </si>
  <si>
    <t>22U2460</t>
  </si>
  <si>
    <t>ACHE LAMA MOGAYE</t>
  </si>
  <si>
    <t>22U2563</t>
  </si>
  <si>
    <t>MAHAMAT SALEH MAHAMOUD</t>
  </si>
  <si>
    <t>22V2655</t>
  </si>
  <si>
    <t>EBONG KELLY ELLEH</t>
  </si>
  <si>
    <t>22N2319</t>
  </si>
  <si>
    <t>AINAMOU DJAMBA FREDERIC</t>
  </si>
  <si>
    <t>22K2802</t>
  </si>
  <si>
    <t>ABONDO MINKOUMOU STEVIE MYRICE</t>
  </si>
  <si>
    <t>22O2728</t>
  </si>
  <si>
    <t>KANKAM KAMGA JESSICA DANIELLA</t>
  </si>
  <si>
    <t>22R2610</t>
  </si>
  <si>
    <t>AÏKOMOU GILBERT</t>
  </si>
  <si>
    <t>22T2387</t>
  </si>
  <si>
    <t>MEKUI MENYE MARIE ROSANGE THAMAR</t>
  </si>
  <si>
    <t>22N2693</t>
  </si>
  <si>
    <t>MEKOUWA DJOMO DANIELLE</t>
  </si>
  <si>
    <t>22R2983</t>
  </si>
  <si>
    <t>JLI ANNTIONATE LOH</t>
  </si>
  <si>
    <t>20V2662</t>
  </si>
  <si>
    <t>MBAMBA IDRISSOU</t>
  </si>
  <si>
    <t>22R2917</t>
  </si>
  <si>
    <t>BIKOMO BENI TEDDY</t>
  </si>
  <si>
    <t>21O2309</t>
  </si>
  <si>
    <t>MFOULOU MFOULOU VANESSA</t>
  </si>
  <si>
    <t>21L2216</t>
  </si>
  <si>
    <t>MAFFODJEU NGOUA ADRIENNE</t>
  </si>
  <si>
    <t>22T2474</t>
  </si>
  <si>
    <t>DJIBRINE TAHIR ATEIB</t>
  </si>
  <si>
    <t>22U2474</t>
  </si>
  <si>
    <t>AGHO ALEX LUH</t>
  </si>
  <si>
    <t>21L2985</t>
  </si>
  <si>
    <t>MFOULOU BRENDA PASSY</t>
  </si>
  <si>
    <t>22Q2652</t>
  </si>
  <si>
    <t>ADIDAI MICHAELA</t>
  </si>
  <si>
    <t>22V2025</t>
  </si>
  <si>
    <t xml:space="preserve">MBAIHONDOUM ALDEMBAYE </t>
  </si>
  <si>
    <t>22V2657</t>
  </si>
  <si>
    <t>BITJEKI ETOTOE PAULNIA MAZAL</t>
  </si>
  <si>
    <t>22K2676</t>
  </si>
  <si>
    <t>ABOUZER DALILA NADIRA YAMGOUOT</t>
  </si>
  <si>
    <t>22O2377</t>
  </si>
  <si>
    <t>HAMIT KOCHI NGUILI</t>
  </si>
  <si>
    <t>22S2803</t>
  </si>
  <si>
    <t xml:space="preserve">EKOSSO EBANDA ANNIE VANELLE </t>
  </si>
  <si>
    <t>22O2314</t>
  </si>
  <si>
    <t>EMAN MAVIAN RONAUD</t>
  </si>
  <si>
    <t>20L2758</t>
  </si>
  <si>
    <t>DJABOU MIAPIECK CINDY DANIELLA</t>
  </si>
  <si>
    <t>22Q2349</t>
  </si>
  <si>
    <t>MBAINGUEM OSCAR</t>
  </si>
  <si>
    <t>22Q2705</t>
  </si>
  <si>
    <t>BEAM DJIMMY</t>
  </si>
  <si>
    <t>22T2749</t>
  </si>
  <si>
    <t>BESSALA EVA DAVID JUNIOR</t>
  </si>
  <si>
    <t>22R2256</t>
  </si>
  <si>
    <t>FOGAM FEGUE ROLLINGS</t>
  </si>
  <si>
    <t>21L2770</t>
  </si>
  <si>
    <t>LEKA NKOA FRANCIS AIME</t>
  </si>
  <si>
    <t>22Q2174</t>
  </si>
  <si>
    <t>MAGNE DJOUHO ANGE ARIELLE</t>
  </si>
  <si>
    <t>22K2746</t>
  </si>
  <si>
    <t>KATEU DJUIFO KORALLY FLEUR</t>
  </si>
  <si>
    <t>22T2584</t>
  </si>
  <si>
    <t>BABA KOULASSI CHRIST GERARD</t>
  </si>
  <si>
    <t>22O2692</t>
  </si>
  <si>
    <t>MAHAMAT SALEH HAMBALI</t>
  </si>
  <si>
    <t>22T2788</t>
  </si>
  <si>
    <t>MENYENGUE NDOUNA SUZANNE LETICIA</t>
  </si>
  <si>
    <t>22K2562</t>
  </si>
  <si>
    <t>KEMOGNE KOUAM GAUTIER</t>
  </si>
  <si>
    <t>22U2640</t>
  </si>
  <si>
    <t>BINGAN SAMUEL AUGUSTIN</t>
  </si>
  <si>
    <t>22V2056</t>
  </si>
  <si>
    <t>BEKONO MONIQUE UGUETTE</t>
  </si>
  <si>
    <t>22N2627</t>
  </si>
  <si>
    <t>BILOA EYENGA SABINE LESLIE</t>
  </si>
  <si>
    <t>22T2381</t>
  </si>
  <si>
    <t>ALOO ALOO NAVARO</t>
  </si>
  <si>
    <t>22R2948</t>
  </si>
  <si>
    <t xml:space="preserve">BITYE NYANGONO ELYSEE </t>
  </si>
  <si>
    <t>22S2300</t>
  </si>
  <si>
    <t>KUEFEU TCHINDA JUNIOR</t>
  </si>
  <si>
    <t>22K2847</t>
  </si>
  <si>
    <t>ASSANA A KEDI ALBERTE CHRISTY</t>
  </si>
  <si>
    <t>22Q2463</t>
  </si>
  <si>
    <t>MADJO ANACLETTE LAURENE</t>
  </si>
  <si>
    <t>22Q2647</t>
  </si>
  <si>
    <t>DJIMBE SEMBONG HENRIETTE NELLY</t>
  </si>
  <si>
    <t>22O2731</t>
  </si>
  <si>
    <t>BALEGUEL JEAN DAVID ROI</t>
  </si>
  <si>
    <t>22S2636</t>
  </si>
  <si>
    <t xml:space="preserve">MBIDA ARNAUD </t>
  </si>
  <si>
    <t>21N2957</t>
  </si>
  <si>
    <t>AMBASSA NDJEBA AMELIE ELVIRA</t>
  </si>
  <si>
    <t>22O2206</t>
  </si>
  <si>
    <t>ALLARAMADJI MBERKOUBOU PRUDENT</t>
  </si>
  <si>
    <t>21N2956</t>
  </si>
  <si>
    <t>MACHEGA PRINCESSE ERIKA</t>
  </si>
  <si>
    <t>22V2836</t>
  </si>
  <si>
    <t>AMINE ABDOULAYE BOUSSOU</t>
  </si>
  <si>
    <t>22V2752</t>
  </si>
  <si>
    <t xml:space="preserve">ATEBA ONDIGUI JEAN </t>
  </si>
  <si>
    <t>22K2955</t>
  </si>
  <si>
    <t>MAFO AWOUKENG ANGE PATRICIA</t>
  </si>
  <si>
    <t>22K2753</t>
  </si>
  <si>
    <t>ABDELRAZIKH ABDELKERIM ABDOULAYE</t>
  </si>
  <si>
    <t>22T2644</t>
  </si>
  <si>
    <t>GANAVA POULDA SIMON</t>
  </si>
  <si>
    <t>22Q2949</t>
  </si>
  <si>
    <t>CHEMEN KAMENI TATIANA KAREN</t>
  </si>
  <si>
    <t>22O2155</t>
  </si>
  <si>
    <t>LINGOM ANNE-SARAH KARIS</t>
  </si>
  <si>
    <t>22R2307</t>
  </si>
  <si>
    <t>MADJIGUI TINAK ELYSEE</t>
  </si>
  <si>
    <t>20R2486</t>
  </si>
  <si>
    <t>EWONDO NOAH ANGE MARIE AGNES</t>
  </si>
  <si>
    <t>22S2348</t>
  </si>
  <si>
    <t>AKOH FILANUS BINWI</t>
  </si>
  <si>
    <t>21L2880</t>
  </si>
  <si>
    <t>DINAMOU AUGUSTE SAWAL</t>
  </si>
  <si>
    <t>21S2282</t>
  </si>
  <si>
    <t xml:space="preserve">MEINA AMANE SOSTHENE </t>
  </si>
  <si>
    <t>22V2156</t>
  </si>
  <si>
    <t>DJERABE VALENTIN</t>
  </si>
  <si>
    <t>20K2182</t>
  </si>
  <si>
    <t>MINOUGA MOUNDOUBOU ORNELLA LANDRIENNE</t>
  </si>
  <si>
    <t>22U2442</t>
  </si>
  <si>
    <t>MAKOUTCHOUP FONGANG SORELLE ORLINE</t>
  </si>
  <si>
    <t>22N2204</t>
  </si>
  <si>
    <t>BAKOM MARY JOYCE</t>
  </si>
  <si>
    <t>21L2386</t>
  </si>
  <si>
    <t>AMEGUE OUANGMENE</t>
  </si>
  <si>
    <t>21N2603</t>
  </si>
  <si>
    <t>ENOTA AYUK VIVIANE</t>
  </si>
  <si>
    <t>22S2739</t>
  </si>
  <si>
    <t xml:space="preserve">MMEMLE CAROLE </t>
  </si>
  <si>
    <t>20R2418</t>
  </si>
  <si>
    <t>ABACHOU MAHAMAT ABAKAR</t>
  </si>
  <si>
    <t>22T2579</t>
  </si>
  <si>
    <t>EVE MEFE MARIE</t>
  </si>
  <si>
    <t>23U2147</t>
  </si>
  <si>
    <t>MBAIRE SYLVESTRE</t>
  </si>
  <si>
    <t>22T2719</t>
  </si>
  <si>
    <t>MAOUNDONODJI ACHILLE</t>
  </si>
  <si>
    <t>22R2786</t>
  </si>
  <si>
    <t>BALKISSOU ZODOUMA DIAGUI</t>
  </si>
  <si>
    <t>21S2044</t>
  </si>
  <si>
    <t>ABDOURAHIM HISSEIN DANGABOU</t>
  </si>
  <si>
    <t>22N2611</t>
  </si>
  <si>
    <t>MADE FOTSING SIDOINE</t>
  </si>
  <si>
    <t>22R2519</t>
  </si>
  <si>
    <t>KUATE MOPO EMERY BRIAN</t>
  </si>
  <si>
    <t>21L2731</t>
  </si>
  <si>
    <t>MULU TASI GLORY NGWI</t>
  </si>
  <si>
    <t>22K2761</t>
  </si>
  <si>
    <t>ADA ETEME MARTHE STEPHANIE</t>
  </si>
  <si>
    <t>22T2582</t>
  </si>
  <si>
    <t>MONSIEUR PAUL</t>
  </si>
  <si>
    <t>22L2479</t>
  </si>
  <si>
    <t>JIKAM METHEN MURIELLE JULIETTE</t>
  </si>
  <si>
    <t>22U2457</t>
  </si>
  <si>
    <t>MEGOUETTSO KEDIENG ERUS DEGAULLE</t>
  </si>
  <si>
    <t>22S2518</t>
  </si>
  <si>
    <t>AZAH MEDIATRIX NDIKUM</t>
  </si>
  <si>
    <t>21N2017</t>
  </si>
  <si>
    <t>ALLINGUE JONATHAN</t>
  </si>
  <si>
    <t>21S2894</t>
  </si>
  <si>
    <t>BALANA MBAMBA VIVIANE LOÏS</t>
  </si>
  <si>
    <t>22K2848</t>
  </si>
  <si>
    <t>DINNAMOU MALIKI PHILOMON</t>
  </si>
  <si>
    <t>22V2193</t>
  </si>
  <si>
    <t>BINGAN BI LUMA ETIENNE CLÉMENT</t>
  </si>
  <si>
    <t>21N2697</t>
  </si>
  <si>
    <t>MBINO TRACY ALBRIGHT</t>
  </si>
  <si>
    <t>22R2985</t>
  </si>
  <si>
    <t>MBOME MBONE KARIM</t>
  </si>
  <si>
    <t>22U2829</t>
  </si>
  <si>
    <t>MBAIREYOM ABRAHAM</t>
  </si>
  <si>
    <t>21S2940</t>
  </si>
  <si>
    <t>MBOK ABELAZIZ</t>
  </si>
  <si>
    <t>22V2187</t>
  </si>
  <si>
    <t>MOUSSA DJEDID MABROUCK</t>
  </si>
  <si>
    <t>22R2958</t>
  </si>
  <si>
    <t>MOUDASSIR MAHAMAT TAHIR</t>
  </si>
  <si>
    <t>22V2448</t>
  </si>
  <si>
    <t>CHINZEN NGUIMTIA LESLY MARY</t>
  </si>
  <si>
    <t>22V2799</t>
  </si>
  <si>
    <t>LIMA SONG MADELEINE MEGANE PRINCESSE</t>
  </si>
  <si>
    <t>22K2773</t>
  </si>
  <si>
    <t>MAKANA YORONGAR</t>
  </si>
  <si>
    <t>22T2118</t>
  </si>
  <si>
    <t>AVARA MANDEDA CALEB</t>
  </si>
  <si>
    <t>22R2510</t>
  </si>
  <si>
    <t>MOUDZE DEFFO JUDE FREMY</t>
  </si>
  <si>
    <t>21L2451</t>
  </si>
  <si>
    <t>BARKEMTOH BERNICE</t>
  </si>
  <si>
    <t>22T2632</t>
  </si>
  <si>
    <t>AMOUGOU NGABENA JEAN CHRISTIAN</t>
  </si>
  <si>
    <t>21N2682</t>
  </si>
  <si>
    <t>MAHAMAT ATCHALLAH</t>
  </si>
  <si>
    <t>22V2638</t>
  </si>
  <si>
    <t>EFA NDZIE CRESCENCE SARA</t>
  </si>
  <si>
    <t>22Q2643</t>
  </si>
  <si>
    <t>MBEKOU ELISE ALIDA</t>
  </si>
  <si>
    <t>22L2655</t>
  </si>
  <si>
    <t>ADAMA AMADOU EMMANUEL</t>
  </si>
  <si>
    <t>22Q2900</t>
  </si>
  <si>
    <t>EVEHE BAZIN LEDUC</t>
  </si>
  <si>
    <t>22Q2566</t>
  </si>
  <si>
    <t>FIBASSOU GOKOINA LONGUEUR</t>
  </si>
  <si>
    <t>22K2817</t>
  </si>
  <si>
    <t>KENGNI KEMGANG ROCHINEL</t>
  </si>
  <si>
    <t>21L2762</t>
  </si>
  <si>
    <t>ATEH ANITA ENGOMI</t>
  </si>
  <si>
    <t>22S2208</t>
  </si>
  <si>
    <t>ABOUDOU ELE BRIGITTE EDYTH</t>
  </si>
  <si>
    <t>22N2748</t>
  </si>
  <si>
    <t>KENGNE FOSSOE MARIANE FLAURE</t>
  </si>
  <si>
    <t>22Q2957</t>
  </si>
  <si>
    <t>ADJIVED BEATRICE</t>
  </si>
  <si>
    <t>22L2429</t>
  </si>
  <si>
    <t xml:space="preserve">DJIUFOUO LONTSIE TIFANE </t>
  </si>
  <si>
    <t>22R2022</t>
  </si>
  <si>
    <t>ESSIOR SANKOE ETIENNE</t>
  </si>
  <si>
    <t>22O2404</t>
  </si>
  <si>
    <t>MARIAM NASSOUR</t>
  </si>
  <si>
    <t>22T2080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</si>
</sst>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#&quot; &quot;##&quot; &quot;##&quot; &quot;##&quot; &quot;##"/>
    <numFmt numFmtId="165" formatCode="00000"/>
    <numFmt numFmtId="166" formatCode="0.0"/>
  </numFmts>
  <fonts count="32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2"/>
      <color theme="4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i/>
      <sz val="12"/>
      <color theme="4"/>
      <name val="Calibri"/>
      <family val="2"/>
      <scheme val="minor"/>
    </font>
    <font>
      <i/>
      <sz val="8"/>
      <color theme="4"/>
      <name val="Arial"/>
      <family val="2"/>
    </font>
    <font>
      <sz val="10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2"/>
      <color theme="0"/>
      <name val="Calibri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rgb="FF4ABB3E"/>
        <bgColor indexed="64"/>
      </patternFill>
    </fill>
    <fill>
      <patternFill patternType="solid">
        <fgColor rgb="FF3B5997"/>
        <bgColor indexed="64"/>
      </patternFill>
    </fill>
    <fill>
      <patternFill patternType="solid">
        <fgColor theme="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otted">
        <color theme="0"/>
      </right>
      <top/>
      <bottom/>
      <diagonal/>
    </border>
    <border>
      <left style="dotted">
        <color theme="0"/>
      </left>
      <right style="dotted">
        <color theme="0"/>
      </right>
      <top/>
      <bottom/>
      <diagonal/>
    </border>
    <border>
      <left style="dotted">
        <color theme="0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20" borderId="1" applyNumberFormat="0" applyAlignment="0" applyProtection="0"/>
    <xf numFmtId="0" fontId="8" fillId="0" borderId="2" applyNumberFormat="0" applyFill="0" applyAlignment="0" applyProtection="0"/>
    <xf numFmtId="0" fontId="4" fillId="21" borderId="3" applyNumberFormat="0" applyFont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2" fillId="4" borderId="0" applyNumberFormat="0" applyBorder="0" applyAlignment="0" applyProtection="0"/>
    <xf numFmtId="0" fontId="13" fillId="20" borderId="4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23" borderId="9" applyNumberFormat="0" applyAlignment="0" applyProtection="0"/>
  </cellStyleXfs>
  <cellXfs count="56">
    <xf numFmtId="0" fontId="0" fillId="0" borderId="0" xfId="0"/>
    <xf numFmtId="0" fontId="2" fillId="24" borderId="11" xfId="0" applyFont="1" applyFill="1" applyBorder="1" applyAlignment="1">
      <alignment horizontal="center"/>
    </xf>
    <xf numFmtId="0" fontId="2" fillId="0" borderId="12" xfId="0" applyFont="1" applyBorder="1"/>
    <xf numFmtId="0" fontId="3" fillId="0" borderId="13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0" borderId="0" xfId="0" applyFont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8" xfId="0" applyBorder="1"/>
    <xf numFmtId="0" fontId="3" fillId="0" borderId="14" xfId="0" applyFont="1" applyBorder="1"/>
    <xf numFmtId="0" fontId="2" fillId="0" borderId="15" xfId="0" applyFont="1" applyBorder="1"/>
    <xf numFmtId="0" fontId="3" fillId="0" borderId="16" xfId="0" applyFont="1" applyBorder="1"/>
    <xf numFmtId="0" fontId="2" fillId="0" borderId="17" xfId="0" applyFont="1" applyBorder="1"/>
    <xf numFmtId="0" fontId="3" fillId="0" borderId="10" xfId="0" applyFont="1" applyBorder="1" applyAlignment="1">
      <alignment horizontal="center"/>
    </xf>
    <xf numFmtId="0" fontId="3" fillId="0" borderId="18" xfId="0" applyFont="1" applyBorder="1"/>
    <xf numFmtId="0" fontId="3" fillId="0" borderId="13" xfId="0" applyFont="1" applyBorder="1"/>
    <xf numFmtId="0" fontId="3" fillId="0" borderId="0" xfId="0" applyFont="1"/>
    <xf numFmtId="0" fontId="0" fillId="0" borderId="0" xfId="0" applyAlignment="1">
      <alignment horizontal="center"/>
    </xf>
    <xf numFmtId="0" fontId="21" fillId="0" borderId="0" xfId="0" applyFont="1" applyAlignment="1">
      <alignment vertical="center"/>
    </xf>
    <xf numFmtId="0" fontId="25" fillId="25" borderId="0" xfId="0" applyFont="1" applyFill="1" applyAlignment="1">
      <alignment horizontal="center" vertical="center"/>
    </xf>
    <xf numFmtId="0" fontId="25" fillId="26" borderId="0" xfId="0" applyFont="1" applyFill="1" applyAlignment="1">
      <alignment horizontal="center" vertical="center"/>
    </xf>
    <xf numFmtId="0" fontId="26" fillId="0" borderId="0" xfId="0" applyFont="1"/>
    <xf numFmtId="0" fontId="21" fillId="0" borderId="0" xfId="0" applyFont="1" applyAlignment="1">
      <alignment horizontal="right" vertical="top"/>
    </xf>
    <xf numFmtId="0" fontId="27" fillId="0" borderId="0" xfId="0" applyFont="1"/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28" fillId="0" borderId="0" xfId="0" applyFont="1"/>
    <xf numFmtId="0" fontId="26" fillId="0" borderId="0" xfId="0" applyFont="1" applyAlignment="1">
      <alignment vertical="top" wrapText="1"/>
    </xf>
    <xf numFmtId="14" fontId="21" fillId="0" borderId="0" xfId="0" applyNumberFormat="1" applyFont="1" applyAlignment="1">
      <alignment horizontal="left"/>
    </xf>
    <xf numFmtId="0" fontId="27" fillId="0" borderId="10" xfId="0" applyFont="1" applyBorder="1"/>
    <xf numFmtId="0" fontId="26" fillId="0" borderId="0" xfId="0" applyFont="1" applyAlignment="1">
      <alignment vertical="center"/>
    </xf>
    <xf numFmtId="0" fontId="21" fillId="0" borderId="0" xfId="0" applyFont="1"/>
    <xf numFmtId="164" fontId="21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right"/>
    </xf>
    <xf numFmtId="165" fontId="21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6" fillId="0" borderId="0" xfId="0" applyFont="1" applyAlignment="1">
      <alignment horizontal="centerContinuous"/>
    </xf>
    <xf numFmtId="0" fontId="21" fillId="0" borderId="0" xfId="0" applyFont="1" applyAlignment="1">
      <alignment horizontal="left"/>
    </xf>
    <xf numFmtId="0" fontId="22" fillId="27" borderId="22" xfId="0" applyFont="1" applyFill="1" applyBorder="1" applyAlignment="1">
      <alignment horizontal="center" vertical="center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3" fillId="27" borderId="25" xfId="0" applyFont="1" applyFill="1" applyBorder="1" applyAlignment="1">
      <alignment vertical="top"/>
    </xf>
    <xf numFmtId="0" fontId="22" fillId="27" borderId="0" xfId="0" applyFont="1" applyFill="1"/>
    <xf numFmtId="0" fontId="22" fillId="27" borderId="26" xfId="0" applyFont="1" applyFill="1" applyBorder="1"/>
    <xf numFmtId="166" fontId="26" fillId="0" borderId="0" xfId="0" applyNumberFormat="1" applyFont="1"/>
    <xf numFmtId="0" fontId="29" fillId="0" borderId="19" xfId="0" applyFont="1" applyBorder="1" applyAlignment="1">
      <alignment vertical="top"/>
    </xf>
    <xf numFmtId="0" fontId="29" fillId="0" borderId="20" xfId="0" applyFont="1" applyBorder="1" applyAlignment="1">
      <alignment vertical="top"/>
    </xf>
    <xf numFmtId="0" fontId="29" fillId="0" borderId="21" xfId="0" applyFont="1" applyBorder="1" applyAlignment="1">
      <alignment vertical="top"/>
    </xf>
    <xf numFmtId="0" fontId="30" fillId="0" borderId="0" xfId="0" applyFont="1" applyAlignment="1">
      <alignment horizontal="left" vertical="center"/>
    </xf>
    <xf numFmtId="166" fontId="24" fillId="25" borderId="0" xfId="0" applyNumberFormat="1" applyFont="1" applyFill="1" applyAlignment="1">
      <alignment horizontal="center" vertical="center"/>
    </xf>
    <xf numFmtId="0" fontId="24" fillId="26" borderId="0" xfId="0" applyFont="1" applyFill="1" applyAlignment="1">
      <alignment horizontal="center" vertical="center"/>
    </xf>
    <xf numFmtId="0" fontId="31" fillId="27" borderId="23" xfId="0" applyFont="1" applyFill="1" applyBorder="1" applyAlignment="1">
      <alignment horizontal="center" vertical="center"/>
    </xf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Note" xfId="28" builtinId="10" customBuiltin="1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1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rgb="FF4ABB3E"/>
        </patternFill>
      </fill>
    </dxf>
    <dxf>
      <font>
        <strike val="0"/>
        <outline val="0"/>
        <shadow val="0"/>
        <u val="none"/>
        <vertAlign val="baseline"/>
        <color theme="4"/>
      </font>
    </dxf>
    <dxf>
      <font>
        <strike val="0"/>
        <outline val="0"/>
        <shadow val="0"/>
        <u val="none"/>
        <vertAlign val="baseline"/>
        <color theme="4"/>
      </font>
    </dxf>
    <dxf>
      <font>
        <strike val="0"/>
        <outline val="0"/>
        <shadow val="0"/>
        <u val="none"/>
        <vertAlign val="baseline"/>
        <color theme="4"/>
      </font>
      <numFmt numFmtId="0" formatCode="General"/>
    </dxf>
    <dxf>
      <font>
        <strike val="0"/>
        <outline val="0"/>
        <shadow val="0"/>
        <u val="none"/>
        <vertAlign val="baseline"/>
        <color theme="4"/>
      </font>
    </dxf>
    <dxf>
      <font>
        <strike val="0"/>
        <outline val="0"/>
        <shadow val="0"/>
        <u val="none"/>
        <vertAlign val="baseline"/>
        <color theme="4"/>
      </font>
    </dxf>
    <dxf>
      <font>
        <strike val="0"/>
        <outline val="0"/>
        <shadow val="0"/>
        <u val="none"/>
        <vertAlign val="baseline"/>
        <color theme="4"/>
      </font>
    </dxf>
    <dxf>
      <font>
        <strike val="0"/>
        <outline val="0"/>
        <shadow val="0"/>
        <u val="none"/>
        <vertAlign val="baseline"/>
        <color theme="4"/>
      </font>
    </dxf>
    <dxf>
      <border outline="0"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color theme="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0"/>
        </left>
        <right style="dotted">
          <color theme="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83275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ABB3E"/>
      <color rgb="FF2832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Note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Feuil2!$E$3:$E$305</c:f>
              <c:strCache>
                <c:ptCount val="302"/>
                <c:pt idx="0">
                  <c:v>ANGOULOUMOU VOUNSOUMA WEIDOU 22T2463</c:v>
                </c:pt>
                <c:pt idx="1">
                  <c:v>KOUOH PROWO ANGE DANIEL 22Q2595</c:v>
                </c:pt>
                <c:pt idx="2">
                  <c:v>MAFO OKILI OLIVIA GRACIA 22T2024</c:v>
                </c:pt>
                <c:pt idx="3">
                  <c:v>ATYAME BOMO ANGE MANUELA 22V2906</c:v>
                </c:pt>
                <c:pt idx="4">
                  <c:v>BOITIER0813 </c:v>
                </c:pt>
                <c:pt idx="5">
                  <c:v>MBARGA ANNE SANDRA 22N2105</c:v>
                </c:pt>
                <c:pt idx="6">
                  <c:v>MICHAËL MBAINAIMOU REOUTAR 22U2539</c:v>
                </c:pt>
                <c:pt idx="7">
                  <c:v>MAKALKAZINA ALLANGVOUNANG JOSEPH 21S2434</c:v>
                </c:pt>
                <c:pt idx="8">
                  <c:v>MOULIOM PEMBORA ROUFEYDA 22O2205</c:v>
                </c:pt>
                <c:pt idx="9">
                  <c:v>DAYA NYAMGWE NICAISE DANIELLE 22O2796</c:v>
                </c:pt>
                <c:pt idx="10">
                  <c:v>DEMANOU FOUEDJEU RUTH ESPERANCE 22O2166</c:v>
                </c:pt>
                <c:pt idx="11">
                  <c:v>GUIMDO TSAFACK MALCOM DONAL 22Q2912</c:v>
                </c:pt>
                <c:pt idx="12">
                  <c:v>KOLONA SALINA SYLVAIN 22U2470</c:v>
                </c:pt>
                <c:pt idx="13">
                  <c:v>DAPSIA KANU ELISEE 22T2490</c:v>
                </c:pt>
                <c:pt idx="14">
                  <c:v>ESSONO MENYOU LEONCE MARILYN 22V2586</c:v>
                </c:pt>
                <c:pt idx="15">
                  <c:v>DIEFOUO-DJIMDIE BILIOS-DEVIS 22N2543</c:v>
                </c:pt>
                <c:pt idx="16">
                  <c:v>DADI CHRISTOPHE 22T2201</c:v>
                </c:pt>
                <c:pt idx="17">
                  <c:v>AMOUGOU AKOA NOEL CHRISTIAN 22L2851</c:v>
                </c:pt>
                <c:pt idx="18">
                  <c:v>ABDOULAYE ADOUM YOUSSOUF 22K2959</c:v>
                </c:pt>
                <c:pt idx="19">
                  <c:v>BITEP II LUC FLOBERT FREDY 22Q2976</c:v>
                </c:pt>
                <c:pt idx="20">
                  <c:v>LEKA SANDRINE BIBONO 22S2084</c:v>
                </c:pt>
                <c:pt idx="21">
                  <c:v>BELINGA MFOUMOU PAULIN URIEL 22S2873</c:v>
                </c:pt>
                <c:pt idx="22">
                  <c:v>MOUSTAPHA DAOUD MEHADINE 22V2176</c:v>
                </c:pt>
                <c:pt idx="23">
                  <c:v>BIG-BILL PROCORD ESSONO NGUEMA 22R2486</c:v>
                </c:pt>
                <c:pt idx="24">
                  <c:v>MEMANA ESSOLA MICHELLE 22O2046</c:v>
                </c:pt>
                <c:pt idx="25">
                  <c:v>ADA NDZANA CHRISTINE FLORA 21Q2841</c:v>
                </c:pt>
                <c:pt idx="26">
                  <c:v>BIPA III BARBARA MARIE 22T2007</c:v>
                </c:pt>
                <c:pt idx="27">
                  <c:v>MEGANKAM NZODJO YOLANDE GERALDINE 22S2330</c:v>
                </c:pt>
                <c:pt idx="28">
                  <c:v>JOLIO MELI CHIVAROLE 22K2895</c:v>
                </c:pt>
                <c:pt idx="29">
                  <c:v>BEMELINGUINE OHOUO ZAVERIE PRISCA 22K2733</c:v>
                </c:pt>
                <c:pt idx="30">
                  <c:v>MALON GARCON 22U2545</c:v>
                </c:pt>
                <c:pt idx="31">
                  <c:v>BOUBAKARY DANNA 22S2299</c:v>
                </c:pt>
                <c:pt idx="32">
                  <c:v>ALBECHIR ALKHALI ALHAFIZ 22U2833</c:v>
                </c:pt>
                <c:pt idx="33">
                  <c:v>AISSATOU ABDOULAYE 22O2065</c:v>
                </c:pt>
                <c:pt idx="34">
                  <c:v>MENGUENE ETEME STEVE  19A2194</c:v>
                </c:pt>
                <c:pt idx="35">
                  <c:v>BEUFOUTCHAM SINYABE ARNAUD 22K2813</c:v>
                </c:pt>
                <c:pt idx="36">
                  <c:v>IAMSU LEUMADJEU LUCRESSE 22S2424</c:v>
                </c:pt>
                <c:pt idx="37">
                  <c:v>DOAW MANUELLA  20R2903</c:v>
                </c:pt>
                <c:pt idx="38">
                  <c:v>BOULIA OBILA YVANNA 22K2832</c:v>
                </c:pt>
                <c:pt idx="39">
                  <c:v>DJATCHEU NZEUKOU GWLADYS LAURE 22T2362</c:v>
                </c:pt>
                <c:pt idx="40">
                  <c:v>MVELE ZAMA ROSALIE DAREINE 22O2806</c:v>
                </c:pt>
                <c:pt idx="41">
                  <c:v>EZECHIEL NOHRA LA VICTOIRE 21N2732</c:v>
                </c:pt>
                <c:pt idx="42">
                  <c:v>KOPYEP SEUTCHIE JUNIE 22T2649</c:v>
                </c:pt>
                <c:pt idx="43">
                  <c:v>DZOJEU SOKAMTE JOVIAL ARNAUD 22L2753</c:v>
                </c:pt>
                <c:pt idx="44">
                  <c:v>KAMGA ANGE MYRIAM 22N2650</c:v>
                </c:pt>
                <c:pt idx="45">
                  <c:v>BAHANE YOLANDE 22K2698</c:v>
                </c:pt>
                <c:pt idx="46">
                  <c:v>BELIBI JEAN BAPTISTE 21L2431</c:v>
                </c:pt>
                <c:pt idx="47">
                  <c:v>BAYANG DOUNIA CELESTIN 22K2303</c:v>
                </c:pt>
                <c:pt idx="48">
                  <c:v>DJIMADOUM DJINGAMLAR 22T2754</c:v>
                </c:pt>
                <c:pt idx="49">
                  <c:v>EKONDE EUNICE SERAKH 22S2814</c:v>
                </c:pt>
                <c:pt idx="50">
                  <c:v>MBAÏHODJI DJESSANDJIM OSEE 22U2607</c:v>
                </c:pt>
                <c:pt idx="51">
                  <c:v>ABDELBASSI BALLE TABOYE  </c:v>
                </c:pt>
                <c:pt idx="52">
                  <c:v>GWET MATIP ANGE SAMY 22K2237</c:v>
                </c:pt>
                <c:pt idx="53">
                  <c:v>MAMADOU DJIMET 22T2626</c:v>
                </c:pt>
                <c:pt idx="54">
                  <c:v>BREKMO MATHIEU 22S2859</c:v>
                </c:pt>
                <c:pt idx="55">
                  <c:v>MONGO NYETAM FLORA LESLY M. 22N2205</c:v>
                </c:pt>
                <c:pt idx="56">
                  <c:v>ESSIMI MOLO JEAN JOEL 22O2952</c:v>
                </c:pt>
                <c:pt idx="57">
                  <c:v>AKAMBA BRENDA COLLINS 22N2341</c:v>
                </c:pt>
                <c:pt idx="58">
                  <c:v>MENDANDI HOULIBELE  20N2438</c:v>
                </c:pt>
                <c:pt idx="59">
                  <c:v>JEDJOU KEPGANG IDYL 22L2477</c:v>
                </c:pt>
                <c:pt idx="60">
                  <c:v>ADJAP ELANGA DIMITRY ROUSSEAU 21L2608</c:v>
                </c:pt>
                <c:pt idx="61">
                  <c:v>APOUMA MORELLE 22K2370</c:v>
                </c:pt>
                <c:pt idx="62">
                  <c:v>BAYANG VOULOUMDI LEONARD 20T2737</c:v>
                </c:pt>
                <c:pt idx="63">
                  <c:v>BELLO KAMDEM ADAMOU 22Q2866</c:v>
                </c:pt>
                <c:pt idx="64">
                  <c:v>BOUTY BELACK SYNTICHE LETICIA 22L2786</c:v>
                </c:pt>
                <c:pt idx="65">
                  <c:v>IBRAHIM MAHAMAT ABDOULAYE 22T2031</c:v>
                </c:pt>
                <c:pt idx="66">
                  <c:v>KONOULIONE WOUAFFO  21L2511</c:v>
                </c:pt>
                <c:pt idx="67">
                  <c:v>ABDOULAYE DJIDDA DANNA 22W2291</c:v>
                </c:pt>
                <c:pt idx="68">
                  <c:v>AYANG DANKREO ELIE 22K2838</c:v>
                </c:pt>
                <c:pt idx="69">
                  <c:v>MINKOMA MBATA ARMANDE CARNEL 22L2939</c:v>
                </c:pt>
                <c:pt idx="70">
                  <c:v>MANDENG ELISABETH CARLA LESLIE 22R2632</c:v>
                </c:pt>
                <c:pt idx="71">
                  <c:v>DEUNON DJINET 22S2683</c:v>
                </c:pt>
                <c:pt idx="72">
                  <c:v>DJIFACK NGUETSACK JORES IVAN 22N2101</c:v>
                </c:pt>
                <c:pt idx="73">
                  <c:v>MBALLA ABOH LETICIA AUDREY 22T2655</c:v>
                </c:pt>
                <c:pt idx="74">
                  <c:v>MASSALA TAOSSAM EDOUARD 21N2077</c:v>
                </c:pt>
                <c:pt idx="75">
                  <c:v>LIHAN ELEANORE NICAISE 21N2404</c:v>
                </c:pt>
                <c:pt idx="76">
                  <c:v>BAPOUNG LAOUNG 22V2941</c:v>
                </c:pt>
                <c:pt idx="77">
                  <c:v>ETOUNDI PASCAL ARNAULD 22O2041</c:v>
                </c:pt>
                <c:pt idx="78">
                  <c:v>BOITIER0940 </c:v>
                </c:pt>
                <c:pt idx="79">
                  <c:v>ESSOMBA BALLA CLAUDE  21N2046</c:v>
                </c:pt>
                <c:pt idx="80">
                  <c:v>AZEMFACK NGUEDONG BRUXELLES EWERTHON 22K2951</c:v>
                </c:pt>
                <c:pt idx="81">
                  <c:v>MAGNE TOCHE TATIANA 19C2681</c:v>
                </c:pt>
                <c:pt idx="82">
                  <c:v>ANDELA OLONGO SIDONIE HILARY 22Q2042</c:v>
                </c:pt>
                <c:pt idx="83">
                  <c:v>BIKOND EVELYNE JOELLE 22L2146</c:v>
                </c:pt>
                <c:pt idx="84">
                  <c:v>DAVY KARL ADJOMO 22N2336</c:v>
                </c:pt>
                <c:pt idx="85">
                  <c:v>ELANGA HORNELA JUSLEINE 22S2782</c:v>
                </c:pt>
                <c:pt idx="86">
                  <c:v>KENGNE KAMSAP PRINCE-RICANEL 22Q2554</c:v>
                </c:pt>
                <c:pt idx="87">
                  <c:v>BABONG GOGBELE FELIX 22L2930</c:v>
                </c:pt>
                <c:pt idx="88">
                  <c:v>BENGONO BENGONO BONIFACE VITAL 22Q2385</c:v>
                </c:pt>
                <c:pt idx="89">
                  <c:v>EBOH EKOUMA GLADYS 22N2108</c:v>
                </c:pt>
                <c:pt idx="90">
                  <c:v>ENYEGUE ONANA CLOTILDE DIANE 22L2097</c:v>
                </c:pt>
                <c:pt idx="91">
                  <c:v>EBONO TSIMI  20K2972</c:v>
                </c:pt>
                <c:pt idx="92">
                  <c:v>MENYE OHANA CELINE  19U2404</c:v>
                </c:pt>
                <c:pt idx="93">
                  <c:v>MBOUA NKOT MBOUA ACHILLE LEGRAND 22T2608</c:v>
                </c:pt>
                <c:pt idx="94">
                  <c:v>ABBY BRYSON DALSIMENTO 22N2089</c:v>
                </c:pt>
                <c:pt idx="95">
                  <c:v>BALARABE YOUNOUSSA 22S2799</c:v>
                </c:pt>
                <c:pt idx="96">
                  <c:v>MODJO MYRIAM VANELLE 21L2523</c:v>
                </c:pt>
                <c:pt idx="97">
                  <c:v>MBAIRANE CEDRICK 22S2762</c:v>
                </c:pt>
                <c:pt idx="98">
                  <c:v>MOREMEM CROYANCE TODJIDE 22T2636</c:v>
                </c:pt>
                <c:pt idx="99">
                  <c:v>DEFALLAH YOUSSOUF MAHAMAT 22T2004</c:v>
                </c:pt>
                <c:pt idx="100">
                  <c:v>AYANGPELNA BAGOTCHING LUC 22O2754</c:v>
                </c:pt>
                <c:pt idx="101">
                  <c:v>CIZAWO TALACK ELTON 21N2216</c:v>
                </c:pt>
                <c:pt idx="102">
                  <c:v>MAGOUI RAISSA KEVINE 22L2112</c:v>
                </c:pt>
                <c:pt idx="103">
                  <c:v>KITIO DONFACK JELLY ANGE 22O2775</c:v>
                </c:pt>
                <c:pt idx="104">
                  <c:v>FOGUE MEGNIZEU LAURA 22O2421</c:v>
                </c:pt>
                <c:pt idx="105">
                  <c:v>JIOLO LOÏC JORDAN 22R2315</c:v>
                </c:pt>
                <c:pt idx="106">
                  <c:v>EYENGA MBOA SIMON EMMANUEL 22O2214</c:v>
                </c:pt>
                <c:pt idx="107">
                  <c:v>MALIKI BARE 22N2744</c:v>
                </c:pt>
                <c:pt idx="108">
                  <c:v>AMALIA JULIE CANELLE AVOULOU 22K2368</c:v>
                </c:pt>
                <c:pt idx="109">
                  <c:v>AYAMBI DAMBALI WARYAKA 22V2066</c:v>
                </c:pt>
                <c:pt idx="110">
                  <c:v>BELINGA PHILIPPE MOREL LEGRAND 22R2482</c:v>
                </c:pt>
                <c:pt idx="111">
                  <c:v>MBAIREBE FRANCIS 22U2466</c:v>
                </c:pt>
                <c:pt idx="112">
                  <c:v>MANUWALA LEA PRISCA 22R2953</c:v>
                </c:pt>
                <c:pt idx="113">
                  <c:v>MABAH DJOUFO ALVINE SONIA 22N2097</c:v>
                </c:pt>
                <c:pt idx="114">
                  <c:v>AWOUATSA KENDJI ULRICH 22R2236</c:v>
                </c:pt>
                <c:pt idx="115">
                  <c:v>LIMBENG ELISE PROMESSE 22T2321</c:v>
                </c:pt>
                <c:pt idx="116">
                  <c:v>KOUOTANG TAMBO LEONEL 22Q2440</c:v>
                </c:pt>
                <c:pt idx="117">
                  <c:v>MANGA BESSALA MADELEINE ABIGAËL 22N2932</c:v>
                </c:pt>
                <c:pt idx="118">
                  <c:v>EKOMO EKO RODOLPHE 21S2922</c:v>
                </c:pt>
                <c:pt idx="119">
                  <c:v>DOUDJIMBAYE MBAINAM NARCISSE 22S2090</c:v>
                </c:pt>
                <c:pt idx="120">
                  <c:v>AOUDOU KANO MOUSSA  22S2589</c:v>
                </c:pt>
                <c:pt idx="121">
                  <c:v>BELINGA ONDOUA DIANDRA TSAGUE JOHANNA 22S2964</c:v>
                </c:pt>
                <c:pt idx="122">
                  <c:v>BAH MBANI CHANCELOR MARINETTE 22R2470</c:v>
                </c:pt>
                <c:pt idx="123">
                  <c:v>BAPPACK FRANCE CELESTINE CHLOE 22L2416</c:v>
                </c:pt>
                <c:pt idx="124">
                  <c:v>MAZO TATCHINKOU FLORA 22N2610</c:v>
                </c:pt>
                <c:pt idx="125">
                  <c:v>BIDIAS MINLONG GINA FRANCESCA 21L2220</c:v>
                </c:pt>
                <c:pt idx="126">
                  <c:v>MEDJO MEKOULA MARIE BLANCHE 22N2960</c:v>
                </c:pt>
                <c:pt idx="127">
                  <c:v>MVINDI TINA ULRICH 22Q2997</c:v>
                </c:pt>
                <c:pt idx="128">
                  <c:v>BALLA OWONA GUY LANDRY 22K2667</c:v>
                </c:pt>
                <c:pt idx="129">
                  <c:v>IDRISS RAMABHAN EL DALHAT 22Q2856</c:v>
                </c:pt>
                <c:pt idx="130">
                  <c:v>MBARGA NADIA JOANNE VANESSA 22R2351</c:v>
                </c:pt>
                <c:pt idx="131">
                  <c:v>MBAIRANE LEONEL JOSPIN 21T2102</c:v>
                </c:pt>
                <c:pt idx="132">
                  <c:v>JOB DOURWE KAO MAGANDANDI 21N2628</c:v>
                </c:pt>
                <c:pt idx="133">
                  <c:v>KENFACK MAËVA 22O2836</c:v>
                </c:pt>
                <c:pt idx="134">
                  <c:v>DJOITONANTE KOUMTIBAYE CHRISTIAN 22V2824</c:v>
                </c:pt>
                <c:pt idx="135">
                  <c:v>CHUAKO TOUCHOKO YLARIE 22N2176</c:v>
                </c:pt>
                <c:pt idx="136">
                  <c:v>LOUNGA EKAMBANG HUGUES 20O2348</c:v>
                </c:pt>
                <c:pt idx="137">
                  <c:v>MENYENGA EQUILIANE DAVILA 21N2939</c:v>
                </c:pt>
                <c:pt idx="138">
                  <c:v>ABDOURAMAN HAYATOU 21R2169</c:v>
                </c:pt>
                <c:pt idx="139">
                  <c:v>MONTHE NGADJE LAURAINE DANIELLE 22Q2111</c:v>
                </c:pt>
                <c:pt idx="140">
                  <c:v>ALAFI MBOULI ABRAHAM 21L2803</c:v>
                </c:pt>
                <c:pt idx="141">
                  <c:v>FOUOKEM TADJIOFOUO BELVIANE 22S2504</c:v>
                </c:pt>
                <c:pt idx="142">
                  <c:v>MBAPA NGONO GISLAINE 22T2408</c:v>
                </c:pt>
                <c:pt idx="143">
                  <c:v>MABESSI MOLEMO YVANA FAELLE 22S2321</c:v>
                </c:pt>
                <c:pt idx="144">
                  <c:v>BEHASSEMDA AZOR 22K2265</c:v>
                </c:pt>
                <c:pt idx="145">
                  <c:v>KEPSEU MBAKOUE LOÏC WILFRIED 22T2106</c:v>
                </c:pt>
                <c:pt idx="146">
                  <c:v>BLANE BIENVENU BEL-BANG 22Q2001</c:v>
                </c:pt>
                <c:pt idx="147">
                  <c:v>MANGOO BEYE ARIANE CHAD CHELA 21S2572</c:v>
                </c:pt>
                <c:pt idx="148">
                  <c:v>LINAMAMOU BAROU 22T2487</c:v>
                </c:pt>
                <c:pt idx="149">
                  <c:v>MAHAMAT ABDELKERIM FOT 22V2558</c:v>
                </c:pt>
                <c:pt idx="150">
                  <c:v>MOUGAROH KOUDHAYELDE ENOCK 22V2097</c:v>
                </c:pt>
                <c:pt idx="151">
                  <c:v>ABDRAMANE ADOUM ABAKAR 22V2583</c:v>
                </c:pt>
                <c:pt idx="152">
                  <c:v>DJOUPOUO NOCHI LUDIVINE FLORE 22R2263</c:v>
                </c:pt>
                <c:pt idx="153">
                  <c:v>GUINDJA TYO GALI 22K2282</c:v>
                </c:pt>
                <c:pt idx="154">
                  <c:v>ABENG THAMAR JENNY 20L2203</c:v>
                </c:pt>
                <c:pt idx="155">
                  <c:v>AMBOMO BELIBI JUSTIN STEPHANE MIGELE 21O2007</c:v>
                </c:pt>
                <c:pt idx="156">
                  <c:v>ARNOLD ROUDOLPHE MOUSSADI EYANGO 22K2774</c:v>
                </c:pt>
                <c:pt idx="157">
                  <c:v>DACHIEU WEDJE AUDE 20L2921</c:v>
                </c:pt>
                <c:pt idx="158">
                  <c:v>BEYENE VINCENT JUNIOR 19R2214</c:v>
                </c:pt>
                <c:pt idx="159">
                  <c:v>BABAYANA DORETTE 22O2915</c:v>
                </c:pt>
                <c:pt idx="160">
                  <c:v>LOUNA SAMAYASSOU LUC 22S2642</c:v>
                </c:pt>
                <c:pt idx="161">
                  <c:v>EZEMBE MVONDO EDWIGE CLAIRE 22N2653</c:v>
                </c:pt>
                <c:pt idx="162">
                  <c:v>MADJI EDITH AVELINA 22S2549</c:v>
                </c:pt>
                <c:pt idx="163">
                  <c:v>MVODO LAURENE 22N2313</c:v>
                </c:pt>
                <c:pt idx="164">
                  <c:v>ALLO MANGA EDOUARD 22L2942</c:v>
                </c:pt>
                <c:pt idx="165">
                  <c:v>ASSIBA TEBERODJE I HERVE 22R2661</c:v>
                </c:pt>
                <c:pt idx="166">
                  <c:v>MOGUEM MBARGA LYNE 22U2914</c:v>
                </c:pt>
                <c:pt idx="167">
                  <c:v>DIFFOUO FOUODJIO CHYNAIDA 22N2180</c:v>
                </c:pt>
                <c:pt idx="168">
                  <c:v>ALLAMINE ABDRAMANE CHAÏB 22S2863</c:v>
                </c:pt>
                <c:pt idx="169">
                  <c:v>FOKA FOWA LIONEL 23V2750</c:v>
                </c:pt>
                <c:pt idx="170">
                  <c:v>LONTSI TIOMELA LEA 22S2997</c:v>
                </c:pt>
                <c:pt idx="171">
                  <c:v>FOKOU BIDIAS CAREL 22N2295</c:v>
                </c:pt>
                <c:pt idx="172">
                  <c:v>CHELSOUBE PASSORET 22R2450</c:v>
                </c:pt>
                <c:pt idx="173">
                  <c:v>EPANDA EPOH RODDY PAVEL 21N2661</c:v>
                </c:pt>
                <c:pt idx="174">
                  <c:v>AVOUDA TAB VANG-LET 22U2472</c:v>
                </c:pt>
                <c:pt idx="175">
                  <c:v>ANGUI NDOCKSANDJA PAUL RICKIEL 22L2915</c:v>
                </c:pt>
                <c:pt idx="176">
                  <c:v>KOUNA ESSOMBA FLEURY MAURINE 22V2999</c:v>
                </c:pt>
                <c:pt idx="177">
                  <c:v>CHIKEZIE DIVINE MIRACLE IKECHUKWU 22R2987</c:v>
                </c:pt>
                <c:pt idx="178">
                  <c:v>DJOMO YANNICK 20K2773</c:v>
                </c:pt>
                <c:pt idx="179">
                  <c:v>EYINGA NKOO  20S2575</c:v>
                </c:pt>
                <c:pt idx="180">
                  <c:v>LANING TATANG FRANCK VALDES 22N2580</c:v>
                </c:pt>
                <c:pt idx="181">
                  <c:v>MEGNIGANG JIONGO D. MEGANE 22Q2151</c:v>
                </c:pt>
                <c:pt idx="182">
                  <c:v>HONA BAHITA ADÈLE LAURIS 22K2939</c:v>
                </c:pt>
                <c:pt idx="183">
                  <c:v>CHRIST-ROI SAINGAR 22U2694</c:v>
                </c:pt>
                <c:pt idx="184">
                  <c:v>ASIMO FREDDY WILLEM 22N2588</c:v>
                </c:pt>
                <c:pt idx="185">
                  <c:v>MOUTASSIM BECHIR MAHAMAT 22O2761</c:v>
                </c:pt>
                <c:pt idx="186">
                  <c:v>KOMENGDI TARAMBAYE ARNAUD 22V2463</c:v>
                </c:pt>
                <c:pt idx="187">
                  <c:v>DJETATOROMBAYE MBAÏGUEDEM 22U2460</c:v>
                </c:pt>
                <c:pt idx="188">
                  <c:v>ACHE LAMA MOGAYE 22U2563</c:v>
                </c:pt>
                <c:pt idx="189">
                  <c:v>MAHAMAT SALEH MAHAMOUD 22V2655</c:v>
                </c:pt>
                <c:pt idx="190">
                  <c:v>EBONG KELLY ELLEH 22N2319</c:v>
                </c:pt>
                <c:pt idx="191">
                  <c:v>AINAMOU DJAMBA FREDERIC 22K2802</c:v>
                </c:pt>
                <c:pt idx="192">
                  <c:v>ABONDO MINKOUMOU STEVIE MYRICE 22O2728</c:v>
                </c:pt>
                <c:pt idx="193">
                  <c:v>KANKAM KAMGA JESSICA DANIELLA 22R2610</c:v>
                </c:pt>
                <c:pt idx="194">
                  <c:v>AÏKOMOU GILBERT 22T2387</c:v>
                </c:pt>
                <c:pt idx="195">
                  <c:v>MEKUI MENYE MARIE ROSANGE THAMAR 22N2693</c:v>
                </c:pt>
                <c:pt idx="196">
                  <c:v>MEKOUWA DJOMO DANIELLE 22R2983</c:v>
                </c:pt>
                <c:pt idx="197">
                  <c:v>JLI ANNTIONATE LOH 20V2662</c:v>
                </c:pt>
                <c:pt idx="198">
                  <c:v>MBAMBA IDRISSOU 22R2917</c:v>
                </c:pt>
                <c:pt idx="199">
                  <c:v>BIKOMO BENI TEDDY 21O2309</c:v>
                </c:pt>
                <c:pt idx="200">
                  <c:v>MFOULOU MFOULOU VANESSA 21L2216</c:v>
                </c:pt>
                <c:pt idx="201">
                  <c:v>MAFFODJEU NGOUA ADRIENNE 22T2474</c:v>
                </c:pt>
                <c:pt idx="202">
                  <c:v>DJIBRINE TAHIR ATEIB 22U2474</c:v>
                </c:pt>
                <c:pt idx="203">
                  <c:v>AGHO ALEX LUH 21L2985</c:v>
                </c:pt>
                <c:pt idx="204">
                  <c:v>MFOULOU BRENDA PASSY 22Q2652</c:v>
                </c:pt>
                <c:pt idx="205">
                  <c:v>ADIDAI MICHAELA 22V2025</c:v>
                </c:pt>
                <c:pt idx="206">
                  <c:v>MBAIHONDOUM ALDEMBAYE  22V2657</c:v>
                </c:pt>
                <c:pt idx="207">
                  <c:v>BITJEKI ETOTOE PAULNIA MAZAL 22K2676</c:v>
                </c:pt>
                <c:pt idx="208">
                  <c:v>ABOUZER DALILA NADIRA YAMGOUOT 22O2377</c:v>
                </c:pt>
                <c:pt idx="209">
                  <c:v>HAMIT KOCHI NGUILI 22S2803</c:v>
                </c:pt>
                <c:pt idx="210">
                  <c:v>EKOSSO EBANDA ANNIE VANELLE  22O2314</c:v>
                </c:pt>
                <c:pt idx="211">
                  <c:v>EMAN MAVIAN RONAUD 20L2758</c:v>
                </c:pt>
                <c:pt idx="212">
                  <c:v>DJABOU MIAPIECK CINDY DANIELLA 22Q2349</c:v>
                </c:pt>
                <c:pt idx="213">
                  <c:v>MBAINGUEM OSCAR 22Q2705</c:v>
                </c:pt>
                <c:pt idx="214">
                  <c:v>BEAM DJIMMY 22T2749</c:v>
                </c:pt>
                <c:pt idx="215">
                  <c:v>BESSALA EVA DAVID JUNIOR 22R2256</c:v>
                </c:pt>
                <c:pt idx="216">
                  <c:v>FOGAM FEGUE ROLLINGS 21L2770</c:v>
                </c:pt>
                <c:pt idx="217">
                  <c:v>LEKA NKOA FRANCIS AIME 22Q2174</c:v>
                </c:pt>
                <c:pt idx="218">
                  <c:v>MAGNE DJOUHO ANGE ARIELLE 22K2746</c:v>
                </c:pt>
                <c:pt idx="219">
                  <c:v>KATEU DJUIFO KORALLY FLEUR 22T2584</c:v>
                </c:pt>
                <c:pt idx="220">
                  <c:v>BABA KOULASSI CHRIST GERARD 22O2692</c:v>
                </c:pt>
                <c:pt idx="221">
                  <c:v>MAHAMAT SALEH HAMBALI 22T2788</c:v>
                </c:pt>
                <c:pt idx="222">
                  <c:v>MENYENGUE NDOUNA SUZANNE LETICIA 22K2562</c:v>
                </c:pt>
                <c:pt idx="223">
                  <c:v>KEMOGNE KOUAM GAUTIER 22U2640</c:v>
                </c:pt>
                <c:pt idx="224">
                  <c:v>BINGAN SAMUEL AUGUSTIN 22V2056</c:v>
                </c:pt>
                <c:pt idx="225">
                  <c:v>BEKONO MONIQUE UGUETTE 22N2627</c:v>
                </c:pt>
                <c:pt idx="226">
                  <c:v>BILOA EYENGA SABINE LESLIE 22T2381</c:v>
                </c:pt>
                <c:pt idx="227">
                  <c:v>ALOO ALOO NAVARO 22R2948</c:v>
                </c:pt>
                <c:pt idx="228">
                  <c:v>BITYE NYANGONO ELYSEE  22S2300</c:v>
                </c:pt>
                <c:pt idx="229">
                  <c:v>KUEFEU TCHINDA JUNIOR 22K2847</c:v>
                </c:pt>
                <c:pt idx="230">
                  <c:v>ASSANA A KEDI ALBERTE CHRISTY 22Q2463</c:v>
                </c:pt>
                <c:pt idx="231">
                  <c:v>MADJO ANACLETTE LAURENE 22Q2647</c:v>
                </c:pt>
                <c:pt idx="232">
                  <c:v>DJIMBE SEMBONG HENRIETTE NELLY 22O2731</c:v>
                </c:pt>
                <c:pt idx="233">
                  <c:v>BALEGUEL JEAN DAVID ROI 22S2636</c:v>
                </c:pt>
                <c:pt idx="234">
                  <c:v>MBIDA ARNAUD  21N2957</c:v>
                </c:pt>
                <c:pt idx="235">
                  <c:v>AMBASSA NDJEBA AMELIE ELVIRA 22O2206</c:v>
                </c:pt>
                <c:pt idx="236">
                  <c:v>ALLARAMADJI MBERKOUBOU PRUDENT 21N2956</c:v>
                </c:pt>
                <c:pt idx="237">
                  <c:v>MACHEGA PRINCESSE ERIKA 22V2836</c:v>
                </c:pt>
                <c:pt idx="238">
                  <c:v>AMINE ABDOULAYE BOUSSOU 22V2752</c:v>
                </c:pt>
                <c:pt idx="239">
                  <c:v>ATEBA ONDIGUI JEAN  22K2955</c:v>
                </c:pt>
                <c:pt idx="240">
                  <c:v>MAFO AWOUKENG ANGE PATRICIA 22K2753</c:v>
                </c:pt>
                <c:pt idx="241">
                  <c:v>ABDELRAZIKH ABDELKERIM ABDOULAYE 22T2644</c:v>
                </c:pt>
                <c:pt idx="242">
                  <c:v>GANAVA POULDA SIMON 22Q2949</c:v>
                </c:pt>
                <c:pt idx="243">
                  <c:v>CHEMEN KAMENI TATIANA KAREN 22O2155</c:v>
                </c:pt>
                <c:pt idx="244">
                  <c:v>LINGOM ANNE-SARAH KARIS 22R2307</c:v>
                </c:pt>
                <c:pt idx="245">
                  <c:v>MADJIGUI TINAK ELYSEE 20R2486</c:v>
                </c:pt>
                <c:pt idx="246">
                  <c:v>EWONDO NOAH ANGE MARIE AGNES 22S2348</c:v>
                </c:pt>
                <c:pt idx="247">
                  <c:v>AKOH FILANUS BINWI 21L2880</c:v>
                </c:pt>
                <c:pt idx="248">
                  <c:v>DINAMOU AUGUSTE SAWAL 21S2282</c:v>
                </c:pt>
                <c:pt idx="249">
                  <c:v>MEINA AMANE SOSTHENE  22V2156</c:v>
                </c:pt>
                <c:pt idx="250">
                  <c:v>DJERABE VALENTIN 20K2182</c:v>
                </c:pt>
                <c:pt idx="251">
                  <c:v>MINOUGA MOUNDOUBOU ORNELLA LANDRIENNE 22U2442</c:v>
                </c:pt>
                <c:pt idx="252">
                  <c:v>MAKOUTCHOUP FONGANG SORELLE ORLINE 22N2204</c:v>
                </c:pt>
                <c:pt idx="253">
                  <c:v>BAKOM MARY JOYCE 21L2386</c:v>
                </c:pt>
                <c:pt idx="254">
                  <c:v>AMEGUE OUANGMENE 21N2603</c:v>
                </c:pt>
                <c:pt idx="255">
                  <c:v>ENOTA AYUK VIVIANE 22S2739</c:v>
                </c:pt>
                <c:pt idx="256">
                  <c:v>MMEMLE CAROLE  20R2418</c:v>
                </c:pt>
                <c:pt idx="257">
                  <c:v>ABACHOU MAHAMAT ABAKAR 22T2579</c:v>
                </c:pt>
                <c:pt idx="258">
                  <c:v>EVE MEFE MARIE 23U2147</c:v>
                </c:pt>
                <c:pt idx="259">
                  <c:v>MBAIRE SYLVESTRE 22T2719</c:v>
                </c:pt>
                <c:pt idx="260">
                  <c:v>MAOUNDONODJI ACHILLE 22R2786</c:v>
                </c:pt>
                <c:pt idx="261">
                  <c:v>BALKISSOU ZODOUMA DIAGUI 21S2044</c:v>
                </c:pt>
                <c:pt idx="262">
                  <c:v>ABDOURAHIM HISSEIN DANGABOU 22N2611</c:v>
                </c:pt>
                <c:pt idx="263">
                  <c:v>MADE FOTSING SIDOINE 22R2519</c:v>
                </c:pt>
                <c:pt idx="264">
                  <c:v>KUATE MOPO EMERY BRIAN 21L2731</c:v>
                </c:pt>
                <c:pt idx="265">
                  <c:v>MULU TASI GLORY NGWI 22K2761</c:v>
                </c:pt>
                <c:pt idx="266">
                  <c:v>ADA ETEME MARTHE STEPHANIE 22T2582</c:v>
                </c:pt>
                <c:pt idx="267">
                  <c:v>MONSIEUR PAUL 22L2479</c:v>
                </c:pt>
                <c:pt idx="268">
                  <c:v>JIKAM METHEN MURIELLE JULIETTE 22U2457</c:v>
                </c:pt>
                <c:pt idx="269">
                  <c:v>MEGOUETTSO KEDIENG ERUS DEGAULLE 22S2518</c:v>
                </c:pt>
                <c:pt idx="270">
                  <c:v>AZAH MEDIATRIX NDIKUM 21N2017</c:v>
                </c:pt>
                <c:pt idx="271">
                  <c:v>ALLINGUE JONATHAN 21S2894</c:v>
                </c:pt>
                <c:pt idx="272">
                  <c:v>BALANA MBAMBA VIVIANE LOÏS 22K2848</c:v>
                </c:pt>
                <c:pt idx="273">
                  <c:v>DINNAMOU MALIKI PHILOMON 22V2193</c:v>
                </c:pt>
                <c:pt idx="274">
                  <c:v>BINGAN BI LUMA ETIENNE CLÉMENT 21N2697</c:v>
                </c:pt>
                <c:pt idx="275">
                  <c:v>MBINO TRACY ALBRIGHT 22R2985</c:v>
                </c:pt>
                <c:pt idx="276">
                  <c:v>MBOME MBONE KARIM 22U2829</c:v>
                </c:pt>
                <c:pt idx="277">
                  <c:v>MBAIREYOM ABRAHAM 21S2940</c:v>
                </c:pt>
                <c:pt idx="278">
                  <c:v>MBOK ABELAZIZ 22V2187</c:v>
                </c:pt>
                <c:pt idx="279">
                  <c:v>MOUSSA DJEDID MABROUCK 22R2958</c:v>
                </c:pt>
                <c:pt idx="280">
                  <c:v>MOUDASSIR MAHAMAT TAHIR 22V2448</c:v>
                </c:pt>
                <c:pt idx="281">
                  <c:v>CHINZEN NGUIMTIA LESLY MARY 22V2799</c:v>
                </c:pt>
                <c:pt idx="282">
                  <c:v>LIMA SONG MADELEINE MEGANE PRINCESSE 22K2773</c:v>
                </c:pt>
                <c:pt idx="283">
                  <c:v>MAKANA YORONGAR 22T2118</c:v>
                </c:pt>
                <c:pt idx="284">
                  <c:v>AVARA MANDEDA CALEB 22R2510</c:v>
                </c:pt>
                <c:pt idx="285">
                  <c:v>MOUDZE DEFFO JUDE FREMY 21L2451</c:v>
                </c:pt>
                <c:pt idx="286">
                  <c:v>BARKEMTOH BERNICE 22T2632</c:v>
                </c:pt>
                <c:pt idx="287">
                  <c:v>AMOUGOU NGABENA JEAN CHRISTIAN 21N2682</c:v>
                </c:pt>
                <c:pt idx="288">
                  <c:v>MAHAMAT ATCHALLAH 22V2638</c:v>
                </c:pt>
                <c:pt idx="289">
                  <c:v>EFA NDZIE CRESCENCE SARA 22Q2643</c:v>
                </c:pt>
                <c:pt idx="290">
                  <c:v>MBEKOU ELISE ALIDA 22L2655</c:v>
                </c:pt>
                <c:pt idx="291">
                  <c:v>ADAMA AMADOU EMMANUEL 22Q2900</c:v>
                </c:pt>
                <c:pt idx="292">
                  <c:v>EVEHE BAZIN LEDUC 22Q2566</c:v>
                </c:pt>
                <c:pt idx="293">
                  <c:v>FIBASSOU GOKOINA LONGUEUR 22K2817</c:v>
                </c:pt>
                <c:pt idx="294">
                  <c:v>KENGNI KEMGANG ROCHINEL 21L2762</c:v>
                </c:pt>
                <c:pt idx="295">
                  <c:v>ATEH ANITA ENGOMI 22S2208</c:v>
                </c:pt>
                <c:pt idx="296">
                  <c:v>ABOUDOU ELE BRIGITTE EDYTH 22N2748</c:v>
                </c:pt>
                <c:pt idx="297">
                  <c:v>KENGNE FOSSOE MARIANE FLAURE 22Q2957</c:v>
                </c:pt>
                <c:pt idx="298">
                  <c:v>ADJIVED BEATRICE 22L2429</c:v>
                </c:pt>
                <c:pt idx="299">
                  <c:v>DJIUFOUO LONTSIE TIFANE  22R2022</c:v>
                </c:pt>
                <c:pt idx="300">
                  <c:v>ESSIOR SANKOE ETIENNE 22O2404</c:v>
                </c:pt>
                <c:pt idx="301">
                  <c:v>MARIAM NASSOUR 22T2080</c:v>
                </c:pt>
              </c:strCache>
            </c:strRef>
          </c:cat>
          <c:val>
            <c:numRef>
              <c:f>Feuil2!$F$3:$F$305</c:f>
              <c:numCache>
                <c:formatCode>General</c:formatCode>
                <c:ptCount val="302"/>
                <c:pt idx="0">
                  <c:v>34</c:v>
                </c:pt>
                <c:pt idx="1">
                  <c:v>34</c:v>
                </c:pt>
                <c:pt idx="2">
                  <c:v>32</c:v>
                </c:pt>
                <c:pt idx="3">
                  <c:v>36</c:v>
                </c:pt>
                <c:pt idx="4">
                  <c:v>22</c:v>
                </c:pt>
                <c:pt idx="5">
                  <c:v>16</c:v>
                </c:pt>
                <c:pt idx="6">
                  <c:v>30</c:v>
                </c:pt>
                <c:pt idx="7">
                  <c:v>32</c:v>
                </c:pt>
                <c:pt idx="8">
                  <c:v>28</c:v>
                </c:pt>
                <c:pt idx="9">
                  <c:v>28</c:v>
                </c:pt>
                <c:pt idx="10">
                  <c:v>32</c:v>
                </c:pt>
                <c:pt idx="11">
                  <c:v>32</c:v>
                </c:pt>
                <c:pt idx="12">
                  <c:v>28</c:v>
                </c:pt>
                <c:pt idx="13">
                  <c:v>38</c:v>
                </c:pt>
                <c:pt idx="14">
                  <c:v>22</c:v>
                </c:pt>
                <c:pt idx="15">
                  <c:v>28</c:v>
                </c:pt>
                <c:pt idx="16">
                  <c:v>30</c:v>
                </c:pt>
                <c:pt idx="17">
                  <c:v>30</c:v>
                </c:pt>
                <c:pt idx="18">
                  <c:v>28</c:v>
                </c:pt>
                <c:pt idx="19">
                  <c:v>18</c:v>
                </c:pt>
                <c:pt idx="20">
                  <c:v>30</c:v>
                </c:pt>
                <c:pt idx="21">
                  <c:v>24</c:v>
                </c:pt>
                <c:pt idx="22">
                  <c:v>30</c:v>
                </c:pt>
                <c:pt idx="23">
                  <c:v>28</c:v>
                </c:pt>
                <c:pt idx="24">
                  <c:v>28</c:v>
                </c:pt>
                <c:pt idx="25">
                  <c:v>20</c:v>
                </c:pt>
                <c:pt idx="26">
                  <c:v>24</c:v>
                </c:pt>
                <c:pt idx="27">
                  <c:v>34</c:v>
                </c:pt>
                <c:pt idx="28">
                  <c:v>20</c:v>
                </c:pt>
                <c:pt idx="29">
                  <c:v>32</c:v>
                </c:pt>
                <c:pt idx="30">
                  <c:v>34</c:v>
                </c:pt>
                <c:pt idx="31">
                  <c:v>36</c:v>
                </c:pt>
                <c:pt idx="32">
                  <c:v>32</c:v>
                </c:pt>
                <c:pt idx="33">
                  <c:v>26</c:v>
                </c:pt>
                <c:pt idx="34">
                  <c:v>30</c:v>
                </c:pt>
                <c:pt idx="35">
                  <c:v>28</c:v>
                </c:pt>
                <c:pt idx="36">
                  <c:v>34</c:v>
                </c:pt>
                <c:pt idx="37">
                  <c:v>32</c:v>
                </c:pt>
                <c:pt idx="38">
                  <c:v>30</c:v>
                </c:pt>
                <c:pt idx="39">
                  <c:v>34</c:v>
                </c:pt>
                <c:pt idx="40">
                  <c:v>26</c:v>
                </c:pt>
                <c:pt idx="41">
                  <c:v>32</c:v>
                </c:pt>
                <c:pt idx="42">
                  <c:v>30</c:v>
                </c:pt>
                <c:pt idx="43">
                  <c:v>20</c:v>
                </c:pt>
                <c:pt idx="44">
                  <c:v>30</c:v>
                </c:pt>
                <c:pt idx="45">
                  <c:v>28</c:v>
                </c:pt>
                <c:pt idx="46">
                  <c:v>16</c:v>
                </c:pt>
                <c:pt idx="47">
                  <c:v>32</c:v>
                </c:pt>
                <c:pt idx="48">
                  <c:v>34</c:v>
                </c:pt>
                <c:pt idx="49">
                  <c:v>30</c:v>
                </c:pt>
                <c:pt idx="50">
                  <c:v>18</c:v>
                </c:pt>
                <c:pt idx="51">
                  <c:v>30</c:v>
                </c:pt>
                <c:pt idx="52">
                  <c:v>30</c:v>
                </c:pt>
                <c:pt idx="53">
                  <c:v>32</c:v>
                </c:pt>
                <c:pt idx="54">
                  <c:v>22</c:v>
                </c:pt>
                <c:pt idx="55">
                  <c:v>30</c:v>
                </c:pt>
                <c:pt idx="56">
                  <c:v>30</c:v>
                </c:pt>
                <c:pt idx="57">
                  <c:v>32</c:v>
                </c:pt>
                <c:pt idx="58">
                  <c:v>24</c:v>
                </c:pt>
                <c:pt idx="59">
                  <c:v>30</c:v>
                </c:pt>
                <c:pt idx="60">
                  <c:v>26</c:v>
                </c:pt>
                <c:pt idx="61">
                  <c:v>32</c:v>
                </c:pt>
                <c:pt idx="62">
                  <c:v>30</c:v>
                </c:pt>
                <c:pt idx="63">
                  <c:v>24</c:v>
                </c:pt>
                <c:pt idx="64">
                  <c:v>32</c:v>
                </c:pt>
                <c:pt idx="65">
                  <c:v>22</c:v>
                </c:pt>
                <c:pt idx="66">
                  <c:v>24</c:v>
                </c:pt>
                <c:pt idx="67">
                  <c:v>32</c:v>
                </c:pt>
                <c:pt idx="68">
                  <c:v>28</c:v>
                </c:pt>
                <c:pt idx="69">
                  <c:v>24</c:v>
                </c:pt>
                <c:pt idx="70">
                  <c:v>26</c:v>
                </c:pt>
                <c:pt idx="71">
                  <c:v>30</c:v>
                </c:pt>
                <c:pt idx="72">
                  <c:v>34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28</c:v>
                </c:pt>
                <c:pt idx="81">
                  <c:v>32</c:v>
                </c:pt>
                <c:pt idx="82">
                  <c:v>26</c:v>
                </c:pt>
                <c:pt idx="83">
                  <c:v>34</c:v>
                </c:pt>
                <c:pt idx="84">
                  <c:v>32</c:v>
                </c:pt>
                <c:pt idx="85">
                  <c:v>36</c:v>
                </c:pt>
                <c:pt idx="86">
                  <c:v>34</c:v>
                </c:pt>
                <c:pt idx="87">
                  <c:v>24</c:v>
                </c:pt>
                <c:pt idx="88">
                  <c:v>30</c:v>
                </c:pt>
                <c:pt idx="89">
                  <c:v>26</c:v>
                </c:pt>
                <c:pt idx="90">
                  <c:v>28</c:v>
                </c:pt>
                <c:pt idx="91">
                  <c:v>40</c:v>
                </c:pt>
                <c:pt idx="92">
                  <c:v>30</c:v>
                </c:pt>
                <c:pt idx="93">
                  <c:v>34</c:v>
                </c:pt>
                <c:pt idx="94">
                  <c:v>32</c:v>
                </c:pt>
                <c:pt idx="95">
                  <c:v>28</c:v>
                </c:pt>
                <c:pt idx="96">
                  <c:v>34</c:v>
                </c:pt>
                <c:pt idx="97">
                  <c:v>28</c:v>
                </c:pt>
                <c:pt idx="98">
                  <c:v>42</c:v>
                </c:pt>
                <c:pt idx="99">
                  <c:v>28</c:v>
                </c:pt>
                <c:pt idx="100">
                  <c:v>30</c:v>
                </c:pt>
                <c:pt idx="101">
                  <c:v>34</c:v>
                </c:pt>
                <c:pt idx="102">
                  <c:v>30</c:v>
                </c:pt>
                <c:pt idx="103">
                  <c:v>32</c:v>
                </c:pt>
                <c:pt idx="104">
                  <c:v>30</c:v>
                </c:pt>
                <c:pt idx="105">
                  <c:v>32</c:v>
                </c:pt>
                <c:pt idx="106">
                  <c:v>36</c:v>
                </c:pt>
                <c:pt idx="107">
                  <c:v>32</c:v>
                </c:pt>
                <c:pt idx="108">
                  <c:v>28</c:v>
                </c:pt>
                <c:pt idx="109">
                  <c:v>32</c:v>
                </c:pt>
                <c:pt idx="110">
                  <c:v>32</c:v>
                </c:pt>
                <c:pt idx="111">
                  <c:v>24</c:v>
                </c:pt>
                <c:pt idx="112">
                  <c:v>6</c:v>
                </c:pt>
                <c:pt idx="113">
                  <c:v>32</c:v>
                </c:pt>
                <c:pt idx="114">
                  <c:v>30</c:v>
                </c:pt>
                <c:pt idx="115">
                  <c:v>20</c:v>
                </c:pt>
                <c:pt idx="116">
                  <c:v>24</c:v>
                </c:pt>
                <c:pt idx="117">
                  <c:v>26</c:v>
                </c:pt>
                <c:pt idx="118">
                  <c:v>28</c:v>
                </c:pt>
                <c:pt idx="119">
                  <c:v>26</c:v>
                </c:pt>
                <c:pt idx="120">
                  <c:v>32</c:v>
                </c:pt>
                <c:pt idx="121">
                  <c:v>34</c:v>
                </c:pt>
                <c:pt idx="122">
                  <c:v>26</c:v>
                </c:pt>
                <c:pt idx="123">
                  <c:v>30</c:v>
                </c:pt>
                <c:pt idx="124">
                  <c:v>24</c:v>
                </c:pt>
                <c:pt idx="125">
                  <c:v>24</c:v>
                </c:pt>
                <c:pt idx="126">
                  <c:v>30</c:v>
                </c:pt>
                <c:pt idx="127">
                  <c:v>26</c:v>
                </c:pt>
                <c:pt idx="128">
                  <c:v>34</c:v>
                </c:pt>
                <c:pt idx="129">
                  <c:v>30</c:v>
                </c:pt>
                <c:pt idx="130">
                  <c:v>30</c:v>
                </c:pt>
                <c:pt idx="131">
                  <c:v>26</c:v>
                </c:pt>
                <c:pt idx="132">
                  <c:v>30</c:v>
                </c:pt>
                <c:pt idx="133">
                  <c:v>34</c:v>
                </c:pt>
                <c:pt idx="134">
                  <c:v>28</c:v>
                </c:pt>
                <c:pt idx="135">
                  <c:v>32</c:v>
                </c:pt>
                <c:pt idx="136">
                  <c:v>30</c:v>
                </c:pt>
                <c:pt idx="137">
                  <c:v>32</c:v>
                </c:pt>
                <c:pt idx="138">
                  <c:v>34</c:v>
                </c:pt>
                <c:pt idx="139">
                  <c:v>36</c:v>
                </c:pt>
                <c:pt idx="140">
                  <c:v>22</c:v>
                </c:pt>
                <c:pt idx="141">
                  <c:v>28</c:v>
                </c:pt>
                <c:pt idx="142">
                  <c:v>24</c:v>
                </c:pt>
                <c:pt idx="143">
                  <c:v>32</c:v>
                </c:pt>
                <c:pt idx="144">
                  <c:v>32</c:v>
                </c:pt>
                <c:pt idx="145">
                  <c:v>24</c:v>
                </c:pt>
                <c:pt idx="146">
                  <c:v>30</c:v>
                </c:pt>
                <c:pt idx="147">
                  <c:v>26</c:v>
                </c:pt>
                <c:pt idx="148">
                  <c:v>30</c:v>
                </c:pt>
                <c:pt idx="149">
                  <c:v>26</c:v>
                </c:pt>
                <c:pt idx="150">
                  <c:v>36</c:v>
                </c:pt>
                <c:pt idx="151">
                  <c:v>30</c:v>
                </c:pt>
                <c:pt idx="152">
                  <c:v>18</c:v>
                </c:pt>
                <c:pt idx="153">
                  <c:v>36</c:v>
                </c:pt>
                <c:pt idx="154">
                  <c:v>24</c:v>
                </c:pt>
                <c:pt idx="155">
                  <c:v>30</c:v>
                </c:pt>
                <c:pt idx="156">
                  <c:v>28</c:v>
                </c:pt>
                <c:pt idx="157">
                  <c:v>20</c:v>
                </c:pt>
                <c:pt idx="158">
                  <c:v>26</c:v>
                </c:pt>
                <c:pt idx="159">
                  <c:v>32</c:v>
                </c:pt>
                <c:pt idx="160">
                  <c:v>28</c:v>
                </c:pt>
                <c:pt idx="161">
                  <c:v>18</c:v>
                </c:pt>
                <c:pt idx="162">
                  <c:v>32</c:v>
                </c:pt>
                <c:pt idx="163">
                  <c:v>24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34</c:v>
                </c:pt>
                <c:pt idx="168">
                  <c:v>32</c:v>
                </c:pt>
                <c:pt idx="169">
                  <c:v>30</c:v>
                </c:pt>
                <c:pt idx="170">
                  <c:v>30</c:v>
                </c:pt>
                <c:pt idx="171">
                  <c:v>26</c:v>
                </c:pt>
                <c:pt idx="172">
                  <c:v>38</c:v>
                </c:pt>
                <c:pt idx="173">
                  <c:v>30</c:v>
                </c:pt>
                <c:pt idx="174">
                  <c:v>30</c:v>
                </c:pt>
                <c:pt idx="175">
                  <c:v>26</c:v>
                </c:pt>
                <c:pt idx="176">
                  <c:v>0</c:v>
                </c:pt>
                <c:pt idx="177">
                  <c:v>30</c:v>
                </c:pt>
                <c:pt idx="178">
                  <c:v>24</c:v>
                </c:pt>
                <c:pt idx="179">
                  <c:v>28</c:v>
                </c:pt>
                <c:pt idx="180">
                  <c:v>32</c:v>
                </c:pt>
                <c:pt idx="181">
                  <c:v>32</c:v>
                </c:pt>
                <c:pt idx="182">
                  <c:v>28</c:v>
                </c:pt>
                <c:pt idx="183">
                  <c:v>34</c:v>
                </c:pt>
                <c:pt idx="184">
                  <c:v>28</c:v>
                </c:pt>
                <c:pt idx="185">
                  <c:v>34</c:v>
                </c:pt>
                <c:pt idx="186">
                  <c:v>38</c:v>
                </c:pt>
                <c:pt idx="187">
                  <c:v>34</c:v>
                </c:pt>
                <c:pt idx="188">
                  <c:v>26</c:v>
                </c:pt>
                <c:pt idx="189">
                  <c:v>30</c:v>
                </c:pt>
                <c:pt idx="190">
                  <c:v>32</c:v>
                </c:pt>
                <c:pt idx="191">
                  <c:v>30</c:v>
                </c:pt>
                <c:pt idx="192">
                  <c:v>34</c:v>
                </c:pt>
                <c:pt idx="193">
                  <c:v>26</c:v>
                </c:pt>
                <c:pt idx="194">
                  <c:v>32</c:v>
                </c:pt>
                <c:pt idx="195">
                  <c:v>20</c:v>
                </c:pt>
                <c:pt idx="196">
                  <c:v>32</c:v>
                </c:pt>
                <c:pt idx="197">
                  <c:v>26</c:v>
                </c:pt>
                <c:pt idx="198">
                  <c:v>20</c:v>
                </c:pt>
                <c:pt idx="199">
                  <c:v>30</c:v>
                </c:pt>
                <c:pt idx="200">
                  <c:v>34</c:v>
                </c:pt>
                <c:pt idx="201">
                  <c:v>32</c:v>
                </c:pt>
                <c:pt idx="202">
                  <c:v>30</c:v>
                </c:pt>
                <c:pt idx="203">
                  <c:v>28</c:v>
                </c:pt>
                <c:pt idx="204">
                  <c:v>32</c:v>
                </c:pt>
                <c:pt idx="205">
                  <c:v>28</c:v>
                </c:pt>
                <c:pt idx="206">
                  <c:v>28</c:v>
                </c:pt>
                <c:pt idx="207">
                  <c:v>30</c:v>
                </c:pt>
                <c:pt idx="208">
                  <c:v>34</c:v>
                </c:pt>
                <c:pt idx="209">
                  <c:v>30</c:v>
                </c:pt>
                <c:pt idx="210">
                  <c:v>40</c:v>
                </c:pt>
                <c:pt idx="211">
                  <c:v>28</c:v>
                </c:pt>
                <c:pt idx="212">
                  <c:v>28</c:v>
                </c:pt>
                <c:pt idx="213">
                  <c:v>32</c:v>
                </c:pt>
                <c:pt idx="214">
                  <c:v>30</c:v>
                </c:pt>
                <c:pt idx="215">
                  <c:v>28</c:v>
                </c:pt>
                <c:pt idx="216">
                  <c:v>28</c:v>
                </c:pt>
                <c:pt idx="217">
                  <c:v>34</c:v>
                </c:pt>
                <c:pt idx="218">
                  <c:v>30</c:v>
                </c:pt>
                <c:pt idx="219">
                  <c:v>28</c:v>
                </c:pt>
                <c:pt idx="220">
                  <c:v>16</c:v>
                </c:pt>
                <c:pt idx="221">
                  <c:v>30</c:v>
                </c:pt>
                <c:pt idx="222">
                  <c:v>34</c:v>
                </c:pt>
                <c:pt idx="223">
                  <c:v>28</c:v>
                </c:pt>
                <c:pt idx="224">
                  <c:v>34</c:v>
                </c:pt>
                <c:pt idx="225">
                  <c:v>24</c:v>
                </c:pt>
                <c:pt idx="226">
                  <c:v>24</c:v>
                </c:pt>
                <c:pt idx="227">
                  <c:v>30</c:v>
                </c:pt>
                <c:pt idx="228">
                  <c:v>20</c:v>
                </c:pt>
                <c:pt idx="229">
                  <c:v>34</c:v>
                </c:pt>
                <c:pt idx="230">
                  <c:v>28</c:v>
                </c:pt>
                <c:pt idx="231">
                  <c:v>20</c:v>
                </c:pt>
                <c:pt idx="232">
                  <c:v>30</c:v>
                </c:pt>
                <c:pt idx="233">
                  <c:v>16</c:v>
                </c:pt>
                <c:pt idx="234">
                  <c:v>16</c:v>
                </c:pt>
                <c:pt idx="235">
                  <c:v>26</c:v>
                </c:pt>
                <c:pt idx="236">
                  <c:v>32</c:v>
                </c:pt>
                <c:pt idx="237">
                  <c:v>30</c:v>
                </c:pt>
                <c:pt idx="238">
                  <c:v>30</c:v>
                </c:pt>
                <c:pt idx="239">
                  <c:v>20</c:v>
                </c:pt>
                <c:pt idx="240">
                  <c:v>30</c:v>
                </c:pt>
                <c:pt idx="241">
                  <c:v>28</c:v>
                </c:pt>
                <c:pt idx="242">
                  <c:v>24</c:v>
                </c:pt>
                <c:pt idx="243">
                  <c:v>30</c:v>
                </c:pt>
                <c:pt idx="244">
                  <c:v>16</c:v>
                </c:pt>
                <c:pt idx="245">
                  <c:v>26</c:v>
                </c:pt>
                <c:pt idx="246">
                  <c:v>36</c:v>
                </c:pt>
                <c:pt idx="247">
                  <c:v>26</c:v>
                </c:pt>
                <c:pt idx="248">
                  <c:v>26</c:v>
                </c:pt>
                <c:pt idx="249">
                  <c:v>32</c:v>
                </c:pt>
                <c:pt idx="250">
                  <c:v>30</c:v>
                </c:pt>
                <c:pt idx="251">
                  <c:v>28</c:v>
                </c:pt>
                <c:pt idx="252">
                  <c:v>34</c:v>
                </c:pt>
                <c:pt idx="253">
                  <c:v>30</c:v>
                </c:pt>
                <c:pt idx="254">
                  <c:v>32</c:v>
                </c:pt>
                <c:pt idx="255">
                  <c:v>20</c:v>
                </c:pt>
                <c:pt idx="256">
                  <c:v>26</c:v>
                </c:pt>
                <c:pt idx="257">
                  <c:v>32</c:v>
                </c:pt>
                <c:pt idx="258">
                  <c:v>34</c:v>
                </c:pt>
                <c:pt idx="259">
                  <c:v>30</c:v>
                </c:pt>
                <c:pt idx="260">
                  <c:v>36</c:v>
                </c:pt>
                <c:pt idx="261">
                  <c:v>30</c:v>
                </c:pt>
                <c:pt idx="262">
                  <c:v>28</c:v>
                </c:pt>
                <c:pt idx="263">
                  <c:v>24</c:v>
                </c:pt>
                <c:pt idx="264">
                  <c:v>40</c:v>
                </c:pt>
                <c:pt idx="265">
                  <c:v>30</c:v>
                </c:pt>
                <c:pt idx="266">
                  <c:v>28</c:v>
                </c:pt>
                <c:pt idx="267">
                  <c:v>32</c:v>
                </c:pt>
                <c:pt idx="268">
                  <c:v>22</c:v>
                </c:pt>
                <c:pt idx="269">
                  <c:v>26</c:v>
                </c:pt>
                <c:pt idx="270">
                  <c:v>26</c:v>
                </c:pt>
                <c:pt idx="271">
                  <c:v>24</c:v>
                </c:pt>
                <c:pt idx="272">
                  <c:v>32</c:v>
                </c:pt>
                <c:pt idx="273">
                  <c:v>30</c:v>
                </c:pt>
                <c:pt idx="274">
                  <c:v>26</c:v>
                </c:pt>
                <c:pt idx="275">
                  <c:v>30</c:v>
                </c:pt>
                <c:pt idx="276">
                  <c:v>28</c:v>
                </c:pt>
                <c:pt idx="277">
                  <c:v>28</c:v>
                </c:pt>
                <c:pt idx="278">
                  <c:v>30</c:v>
                </c:pt>
                <c:pt idx="279">
                  <c:v>32</c:v>
                </c:pt>
                <c:pt idx="280">
                  <c:v>30</c:v>
                </c:pt>
                <c:pt idx="281">
                  <c:v>24</c:v>
                </c:pt>
                <c:pt idx="282">
                  <c:v>26</c:v>
                </c:pt>
                <c:pt idx="283">
                  <c:v>28</c:v>
                </c:pt>
                <c:pt idx="284">
                  <c:v>32</c:v>
                </c:pt>
                <c:pt idx="285">
                  <c:v>22</c:v>
                </c:pt>
                <c:pt idx="286">
                  <c:v>26</c:v>
                </c:pt>
                <c:pt idx="287">
                  <c:v>20</c:v>
                </c:pt>
                <c:pt idx="288">
                  <c:v>24</c:v>
                </c:pt>
                <c:pt idx="289">
                  <c:v>30</c:v>
                </c:pt>
                <c:pt idx="290">
                  <c:v>20</c:v>
                </c:pt>
                <c:pt idx="291">
                  <c:v>28</c:v>
                </c:pt>
                <c:pt idx="292">
                  <c:v>24</c:v>
                </c:pt>
                <c:pt idx="293">
                  <c:v>26</c:v>
                </c:pt>
                <c:pt idx="294">
                  <c:v>26</c:v>
                </c:pt>
                <c:pt idx="295">
                  <c:v>22</c:v>
                </c:pt>
                <c:pt idx="296">
                  <c:v>28</c:v>
                </c:pt>
                <c:pt idx="297">
                  <c:v>22</c:v>
                </c:pt>
                <c:pt idx="298">
                  <c:v>32</c:v>
                </c:pt>
                <c:pt idx="299">
                  <c:v>22</c:v>
                </c:pt>
                <c:pt idx="300">
                  <c:v>34</c:v>
                </c:pt>
                <c:pt idx="30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E-43BB-96CE-DBBFCAABA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7558400"/>
        <c:axId val="497553152"/>
      </c:barChart>
      <c:scatterChart>
        <c:scatterStyle val="smoothMarker"/>
        <c:varyColors val="0"/>
        <c:ser>
          <c:idx val="1"/>
          <c:order val="1"/>
          <c:tx>
            <c:v>Moyenne des stagiaires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94F7-4DB2-B3B9-B26FB2D64C5D}"/>
              </c:ext>
            </c:extLst>
          </c:dPt>
          <c:xVal>
            <c:numRef>
              <c:f>Feuil2!$G$3:$G$305</c:f>
              <c:numCache>
                <c:formatCode>General</c:formatCode>
                <c:ptCount val="302"/>
                <c:pt idx="0">
                  <c:v>28.629139072847682</c:v>
                </c:pt>
                <c:pt idx="1">
                  <c:v>28.629139072847682</c:v>
                </c:pt>
                <c:pt idx="2">
                  <c:v>28.629139072847682</c:v>
                </c:pt>
                <c:pt idx="3">
                  <c:v>28.629139072847682</c:v>
                </c:pt>
                <c:pt idx="4">
                  <c:v>28.629139072847682</c:v>
                </c:pt>
                <c:pt idx="5">
                  <c:v>28.629139072847682</c:v>
                </c:pt>
                <c:pt idx="6">
                  <c:v>28.629139072847682</c:v>
                </c:pt>
                <c:pt idx="7">
                  <c:v>28.629139072847682</c:v>
                </c:pt>
                <c:pt idx="8">
                  <c:v>28.629139072847682</c:v>
                </c:pt>
                <c:pt idx="9">
                  <c:v>28.629139072847682</c:v>
                </c:pt>
                <c:pt idx="10">
                  <c:v>28.629139072847682</c:v>
                </c:pt>
                <c:pt idx="11">
                  <c:v>28.629139072847682</c:v>
                </c:pt>
                <c:pt idx="12">
                  <c:v>28.629139072847682</c:v>
                </c:pt>
                <c:pt idx="13">
                  <c:v>28.629139072847682</c:v>
                </c:pt>
                <c:pt idx="14">
                  <c:v>28.629139072847682</c:v>
                </c:pt>
                <c:pt idx="15">
                  <c:v>28.629139072847682</c:v>
                </c:pt>
                <c:pt idx="16">
                  <c:v>28.629139072847682</c:v>
                </c:pt>
                <c:pt idx="17">
                  <c:v>28.629139072847682</c:v>
                </c:pt>
                <c:pt idx="18">
                  <c:v>28.629139072847682</c:v>
                </c:pt>
                <c:pt idx="19">
                  <c:v>28.629139072847682</c:v>
                </c:pt>
                <c:pt idx="20">
                  <c:v>28.629139072847682</c:v>
                </c:pt>
                <c:pt idx="21">
                  <c:v>28.629139072847682</c:v>
                </c:pt>
                <c:pt idx="22">
                  <c:v>28.629139072847682</c:v>
                </c:pt>
                <c:pt idx="23">
                  <c:v>28.629139072847682</c:v>
                </c:pt>
                <c:pt idx="24">
                  <c:v>28.629139072847682</c:v>
                </c:pt>
                <c:pt idx="25">
                  <c:v>28.629139072847682</c:v>
                </c:pt>
                <c:pt idx="26">
                  <c:v>28.629139072847682</c:v>
                </c:pt>
                <c:pt idx="27">
                  <c:v>28.629139072847682</c:v>
                </c:pt>
                <c:pt idx="28">
                  <c:v>28.629139072847682</c:v>
                </c:pt>
                <c:pt idx="29">
                  <c:v>28.629139072847682</c:v>
                </c:pt>
                <c:pt idx="30">
                  <c:v>28.629139072847682</c:v>
                </c:pt>
                <c:pt idx="31">
                  <c:v>28.629139072847682</c:v>
                </c:pt>
                <c:pt idx="32">
                  <c:v>28.629139072847682</c:v>
                </c:pt>
                <c:pt idx="33">
                  <c:v>28.629139072847682</c:v>
                </c:pt>
                <c:pt idx="34">
                  <c:v>28.629139072847682</c:v>
                </c:pt>
                <c:pt idx="35">
                  <c:v>28.629139072847682</c:v>
                </c:pt>
                <c:pt idx="36">
                  <c:v>28.629139072847682</c:v>
                </c:pt>
                <c:pt idx="37">
                  <c:v>28.629139072847682</c:v>
                </c:pt>
                <c:pt idx="38">
                  <c:v>28.629139072847682</c:v>
                </c:pt>
                <c:pt idx="39">
                  <c:v>28.629139072847682</c:v>
                </c:pt>
                <c:pt idx="40">
                  <c:v>28.629139072847682</c:v>
                </c:pt>
                <c:pt idx="41">
                  <c:v>28.629139072847682</c:v>
                </c:pt>
                <c:pt idx="42">
                  <c:v>28.629139072847682</c:v>
                </c:pt>
                <c:pt idx="43">
                  <c:v>28.629139072847682</c:v>
                </c:pt>
                <c:pt idx="44">
                  <c:v>28.629139072847682</c:v>
                </c:pt>
                <c:pt idx="45">
                  <c:v>28.629139072847682</c:v>
                </c:pt>
                <c:pt idx="46">
                  <c:v>28.629139072847682</c:v>
                </c:pt>
                <c:pt idx="47">
                  <c:v>28.629139072847682</c:v>
                </c:pt>
                <c:pt idx="48">
                  <c:v>28.629139072847682</c:v>
                </c:pt>
                <c:pt idx="49">
                  <c:v>28.629139072847682</c:v>
                </c:pt>
                <c:pt idx="50">
                  <c:v>28.629139072847682</c:v>
                </c:pt>
                <c:pt idx="51">
                  <c:v>28.629139072847682</c:v>
                </c:pt>
                <c:pt idx="52">
                  <c:v>28.629139072847682</c:v>
                </c:pt>
                <c:pt idx="53">
                  <c:v>28.629139072847682</c:v>
                </c:pt>
                <c:pt idx="54">
                  <c:v>28.629139072847682</c:v>
                </c:pt>
                <c:pt idx="55">
                  <c:v>28.629139072847682</c:v>
                </c:pt>
                <c:pt idx="56">
                  <c:v>28.629139072847682</c:v>
                </c:pt>
                <c:pt idx="57">
                  <c:v>28.629139072847682</c:v>
                </c:pt>
                <c:pt idx="58">
                  <c:v>28.629139072847682</c:v>
                </c:pt>
                <c:pt idx="59">
                  <c:v>28.629139072847682</c:v>
                </c:pt>
                <c:pt idx="60">
                  <c:v>28.629139072847682</c:v>
                </c:pt>
                <c:pt idx="61">
                  <c:v>28.629139072847682</c:v>
                </c:pt>
                <c:pt idx="62">
                  <c:v>28.629139072847682</c:v>
                </c:pt>
                <c:pt idx="63">
                  <c:v>28.629139072847682</c:v>
                </c:pt>
                <c:pt idx="64">
                  <c:v>28.629139072847682</c:v>
                </c:pt>
                <c:pt idx="65">
                  <c:v>28.629139072847682</c:v>
                </c:pt>
                <c:pt idx="66">
                  <c:v>28.629139072847682</c:v>
                </c:pt>
                <c:pt idx="67">
                  <c:v>28.629139072847682</c:v>
                </c:pt>
                <c:pt idx="68">
                  <c:v>28.629139072847682</c:v>
                </c:pt>
                <c:pt idx="69">
                  <c:v>28.629139072847682</c:v>
                </c:pt>
                <c:pt idx="70">
                  <c:v>28.629139072847682</c:v>
                </c:pt>
                <c:pt idx="71">
                  <c:v>28.629139072847682</c:v>
                </c:pt>
                <c:pt idx="72">
                  <c:v>28.629139072847682</c:v>
                </c:pt>
                <c:pt idx="73">
                  <c:v>28.629139072847682</c:v>
                </c:pt>
                <c:pt idx="74">
                  <c:v>28.629139072847682</c:v>
                </c:pt>
                <c:pt idx="75">
                  <c:v>28.629139072847682</c:v>
                </c:pt>
                <c:pt idx="76">
                  <c:v>28.629139072847682</c:v>
                </c:pt>
                <c:pt idx="77">
                  <c:v>28.629139072847682</c:v>
                </c:pt>
                <c:pt idx="78">
                  <c:v>28.629139072847682</c:v>
                </c:pt>
                <c:pt idx="79">
                  <c:v>28.629139072847682</c:v>
                </c:pt>
                <c:pt idx="80">
                  <c:v>28.629139072847682</c:v>
                </c:pt>
                <c:pt idx="81">
                  <c:v>28.629139072847682</c:v>
                </c:pt>
                <c:pt idx="82">
                  <c:v>28.629139072847682</c:v>
                </c:pt>
                <c:pt idx="83">
                  <c:v>28.629139072847682</c:v>
                </c:pt>
                <c:pt idx="84">
                  <c:v>28.629139072847682</c:v>
                </c:pt>
                <c:pt idx="85">
                  <c:v>28.629139072847682</c:v>
                </c:pt>
                <c:pt idx="86">
                  <c:v>28.629139072847682</c:v>
                </c:pt>
                <c:pt idx="87">
                  <c:v>28.629139072847682</c:v>
                </c:pt>
                <c:pt idx="88">
                  <c:v>28.629139072847682</c:v>
                </c:pt>
                <c:pt idx="89">
                  <c:v>28.629139072847682</c:v>
                </c:pt>
                <c:pt idx="90">
                  <c:v>28.629139072847682</c:v>
                </c:pt>
                <c:pt idx="91">
                  <c:v>28.629139072847682</c:v>
                </c:pt>
                <c:pt idx="92">
                  <c:v>28.629139072847682</c:v>
                </c:pt>
                <c:pt idx="93">
                  <c:v>28.629139072847682</c:v>
                </c:pt>
                <c:pt idx="94">
                  <c:v>28.629139072847682</c:v>
                </c:pt>
                <c:pt idx="95">
                  <c:v>28.629139072847682</c:v>
                </c:pt>
                <c:pt idx="96">
                  <c:v>28.629139072847682</c:v>
                </c:pt>
                <c:pt idx="97">
                  <c:v>28.629139072847682</c:v>
                </c:pt>
                <c:pt idx="98">
                  <c:v>28.629139072847682</c:v>
                </c:pt>
                <c:pt idx="99">
                  <c:v>28.629139072847682</c:v>
                </c:pt>
                <c:pt idx="100">
                  <c:v>28.629139072847682</c:v>
                </c:pt>
                <c:pt idx="101">
                  <c:v>28.629139072847682</c:v>
                </c:pt>
                <c:pt idx="102">
                  <c:v>28.629139072847682</c:v>
                </c:pt>
                <c:pt idx="103">
                  <c:v>28.629139072847682</c:v>
                </c:pt>
                <c:pt idx="104">
                  <c:v>28.629139072847682</c:v>
                </c:pt>
                <c:pt idx="105">
                  <c:v>28.629139072847682</c:v>
                </c:pt>
                <c:pt idx="106">
                  <c:v>28.629139072847682</c:v>
                </c:pt>
                <c:pt idx="107">
                  <c:v>28.629139072847682</c:v>
                </c:pt>
                <c:pt idx="108">
                  <c:v>28.629139072847682</c:v>
                </c:pt>
                <c:pt idx="109">
                  <c:v>28.629139072847682</c:v>
                </c:pt>
                <c:pt idx="110">
                  <c:v>28.629139072847682</c:v>
                </c:pt>
                <c:pt idx="111">
                  <c:v>28.629139072847682</c:v>
                </c:pt>
                <c:pt idx="112">
                  <c:v>28.629139072847682</c:v>
                </c:pt>
                <c:pt idx="113">
                  <c:v>28.629139072847682</c:v>
                </c:pt>
                <c:pt idx="114">
                  <c:v>28.629139072847682</c:v>
                </c:pt>
                <c:pt idx="115">
                  <c:v>28.629139072847682</c:v>
                </c:pt>
                <c:pt idx="116">
                  <c:v>28.629139072847682</c:v>
                </c:pt>
                <c:pt idx="117">
                  <c:v>28.629139072847682</c:v>
                </c:pt>
                <c:pt idx="118">
                  <c:v>28.629139072847682</c:v>
                </c:pt>
                <c:pt idx="119">
                  <c:v>28.629139072847682</c:v>
                </c:pt>
                <c:pt idx="120">
                  <c:v>28.629139072847682</c:v>
                </c:pt>
                <c:pt idx="121">
                  <c:v>28.629139072847682</c:v>
                </c:pt>
                <c:pt idx="122">
                  <c:v>28.629139072847682</c:v>
                </c:pt>
                <c:pt idx="123">
                  <c:v>28.629139072847682</c:v>
                </c:pt>
                <c:pt idx="124">
                  <c:v>28.629139072847682</c:v>
                </c:pt>
                <c:pt idx="125">
                  <c:v>28.629139072847682</c:v>
                </c:pt>
                <c:pt idx="126">
                  <c:v>28.629139072847682</c:v>
                </c:pt>
                <c:pt idx="127">
                  <c:v>28.629139072847682</c:v>
                </c:pt>
                <c:pt idx="128">
                  <c:v>28.629139072847682</c:v>
                </c:pt>
                <c:pt idx="129">
                  <c:v>28.629139072847682</c:v>
                </c:pt>
                <c:pt idx="130">
                  <c:v>28.629139072847682</c:v>
                </c:pt>
                <c:pt idx="131">
                  <c:v>28.629139072847682</c:v>
                </c:pt>
                <c:pt idx="132">
                  <c:v>28.629139072847682</c:v>
                </c:pt>
                <c:pt idx="133">
                  <c:v>28.629139072847682</c:v>
                </c:pt>
                <c:pt idx="134">
                  <c:v>28.629139072847682</c:v>
                </c:pt>
                <c:pt idx="135">
                  <c:v>28.629139072847682</c:v>
                </c:pt>
                <c:pt idx="136">
                  <c:v>28.629139072847682</c:v>
                </c:pt>
                <c:pt idx="137">
                  <c:v>28.629139072847682</c:v>
                </c:pt>
                <c:pt idx="138">
                  <c:v>28.629139072847682</c:v>
                </c:pt>
                <c:pt idx="139">
                  <c:v>28.629139072847682</c:v>
                </c:pt>
                <c:pt idx="140">
                  <c:v>28.629139072847682</c:v>
                </c:pt>
                <c:pt idx="141">
                  <c:v>28.629139072847682</c:v>
                </c:pt>
                <c:pt idx="142">
                  <c:v>28.629139072847682</c:v>
                </c:pt>
                <c:pt idx="143">
                  <c:v>28.629139072847682</c:v>
                </c:pt>
                <c:pt idx="144">
                  <c:v>28.629139072847682</c:v>
                </c:pt>
                <c:pt idx="145">
                  <c:v>28.629139072847682</c:v>
                </c:pt>
                <c:pt idx="146">
                  <c:v>28.629139072847682</c:v>
                </c:pt>
                <c:pt idx="147">
                  <c:v>28.629139072847682</c:v>
                </c:pt>
                <c:pt idx="148">
                  <c:v>28.629139072847682</c:v>
                </c:pt>
                <c:pt idx="149">
                  <c:v>28.629139072847682</c:v>
                </c:pt>
                <c:pt idx="150">
                  <c:v>28.629139072847682</c:v>
                </c:pt>
                <c:pt idx="151">
                  <c:v>28.629139072847682</c:v>
                </c:pt>
                <c:pt idx="152">
                  <c:v>28.629139072847682</c:v>
                </c:pt>
                <c:pt idx="153">
                  <c:v>28.629139072847682</c:v>
                </c:pt>
                <c:pt idx="154">
                  <c:v>28.629139072847682</c:v>
                </c:pt>
                <c:pt idx="155">
                  <c:v>28.629139072847682</c:v>
                </c:pt>
                <c:pt idx="156">
                  <c:v>28.629139072847682</c:v>
                </c:pt>
                <c:pt idx="157">
                  <c:v>28.629139072847682</c:v>
                </c:pt>
                <c:pt idx="158">
                  <c:v>28.629139072847682</c:v>
                </c:pt>
                <c:pt idx="159">
                  <c:v>28.629139072847682</c:v>
                </c:pt>
                <c:pt idx="160">
                  <c:v>28.629139072847682</c:v>
                </c:pt>
                <c:pt idx="161">
                  <c:v>28.629139072847682</c:v>
                </c:pt>
                <c:pt idx="162">
                  <c:v>28.629139072847682</c:v>
                </c:pt>
                <c:pt idx="163">
                  <c:v>28.629139072847682</c:v>
                </c:pt>
                <c:pt idx="164">
                  <c:v>28.629139072847682</c:v>
                </c:pt>
                <c:pt idx="165">
                  <c:v>28.629139072847682</c:v>
                </c:pt>
                <c:pt idx="166">
                  <c:v>28.629139072847682</c:v>
                </c:pt>
                <c:pt idx="167">
                  <c:v>28.629139072847682</c:v>
                </c:pt>
                <c:pt idx="168">
                  <c:v>28.629139072847682</c:v>
                </c:pt>
                <c:pt idx="169">
                  <c:v>28.629139072847682</c:v>
                </c:pt>
                <c:pt idx="170">
                  <c:v>28.629139072847682</c:v>
                </c:pt>
                <c:pt idx="171">
                  <c:v>28.629139072847682</c:v>
                </c:pt>
                <c:pt idx="172">
                  <c:v>28.629139072847682</c:v>
                </c:pt>
                <c:pt idx="173">
                  <c:v>28.629139072847682</c:v>
                </c:pt>
                <c:pt idx="174">
                  <c:v>28.629139072847682</c:v>
                </c:pt>
                <c:pt idx="175">
                  <c:v>28.629139072847682</c:v>
                </c:pt>
                <c:pt idx="176">
                  <c:v>28.629139072847682</c:v>
                </c:pt>
                <c:pt idx="177">
                  <c:v>28.629139072847682</c:v>
                </c:pt>
                <c:pt idx="178">
                  <c:v>28.629139072847682</c:v>
                </c:pt>
                <c:pt idx="179">
                  <c:v>28.629139072847682</c:v>
                </c:pt>
                <c:pt idx="180">
                  <c:v>28.629139072847682</c:v>
                </c:pt>
                <c:pt idx="181">
                  <c:v>28.629139072847682</c:v>
                </c:pt>
                <c:pt idx="182">
                  <c:v>28.629139072847682</c:v>
                </c:pt>
                <c:pt idx="183">
                  <c:v>28.629139072847682</c:v>
                </c:pt>
                <c:pt idx="184">
                  <c:v>28.629139072847682</c:v>
                </c:pt>
                <c:pt idx="185">
                  <c:v>28.629139072847682</c:v>
                </c:pt>
                <c:pt idx="186">
                  <c:v>28.629139072847682</c:v>
                </c:pt>
                <c:pt idx="187">
                  <c:v>28.629139072847682</c:v>
                </c:pt>
                <c:pt idx="188">
                  <c:v>28.629139072847682</c:v>
                </c:pt>
                <c:pt idx="189">
                  <c:v>28.629139072847682</c:v>
                </c:pt>
                <c:pt idx="190">
                  <c:v>28.629139072847682</c:v>
                </c:pt>
                <c:pt idx="191">
                  <c:v>28.629139072847682</c:v>
                </c:pt>
                <c:pt idx="192">
                  <c:v>28.629139072847682</c:v>
                </c:pt>
                <c:pt idx="193">
                  <c:v>28.629139072847682</c:v>
                </c:pt>
                <c:pt idx="194">
                  <c:v>28.629139072847682</c:v>
                </c:pt>
                <c:pt idx="195">
                  <c:v>28.629139072847682</c:v>
                </c:pt>
                <c:pt idx="196">
                  <c:v>28.629139072847682</c:v>
                </c:pt>
                <c:pt idx="197">
                  <c:v>28.629139072847682</c:v>
                </c:pt>
                <c:pt idx="198">
                  <c:v>28.629139072847682</c:v>
                </c:pt>
                <c:pt idx="199">
                  <c:v>28.629139072847682</c:v>
                </c:pt>
                <c:pt idx="200">
                  <c:v>28.629139072847682</c:v>
                </c:pt>
                <c:pt idx="201">
                  <c:v>28.629139072847682</c:v>
                </c:pt>
                <c:pt idx="202">
                  <c:v>28.629139072847682</c:v>
                </c:pt>
                <c:pt idx="203">
                  <c:v>28.629139072847682</c:v>
                </c:pt>
                <c:pt idx="204">
                  <c:v>28.629139072847682</c:v>
                </c:pt>
                <c:pt idx="205">
                  <c:v>28.629139072847682</c:v>
                </c:pt>
                <c:pt idx="206">
                  <c:v>28.629139072847682</c:v>
                </c:pt>
                <c:pt idx="207">
                  <c:v>28.629139072847682</c:v>
                </c:pt>
                <c:pt idx="208">
                  <c:v>28.629139072847682</c:v>
                </c:pt>
                <c:pt idx="209">
                  <c:v>28.629139072847682</c:v>
                </c:pt>
                <c:pt idx="210">
                  <c:v>28.629139072847682</c:v>
                </c:pt>
                <c:pt idx="211">
                  <c:v>28.629139072847682</c:v>
                </c:pt>
                <c:pt idx="212">
                  <c:v>28.629139072847682</c:v>
                </c:pt>
                <c:pt idx="213">
                  <c:v>28.629139072847682</c:v>
                </c:pt>
                <c:pt idx="214">
                  <c:v>28.629139072847682</c:v>
                </c:pt>
                <c:pt idx="215">
                  <c:v>28.629139072847682</c:v>
                </c:pt>
                <c:pt idx="216">
                  <c:v>28.629139072847682</c:v>
                </c:pt>
                <c:pt idx="217">
                  <c:v>28.629139072847682</c:v>
                </c:pt>
                <c:pt idx="218">
                  <c:v>28.629139072847682</c:v>
                </c:pt>
                <c:pt idx="219">
                  <c:v>28.629139072847682</c:v>
                </c:pt>
                <c:pt idx="220">
                  <c:v>28.629139072847682</c:v>
                </c:pt>
                <c:pt idx="221">
                  <c:v>28.629139072847682</c:v>
                </c:pt>
                <c:pt idx="222">
                  <c:v>28.629139072847682</c:v>
                </c:pt>
                <c:pt idx="223">
                  <c:v>28.629139072847682</c:v>
                </c:pt>
                <c:pt idx="224">
                  <c:v>28.629139072847682</c:v>
                </c:pt>
                <c:pt idx="225">
                  <c:v>28.629139072847682</c:v>
                </c:pt>
                <c:pt idx="226">
                  <c:v>28.629139072847682</c:v>
                </c:pt>
                <c:pt idx="227">
                  <c:v>28.629139072847682</c:v>
                </c:pt>
                <c:pt idx="228">
                  <c:v>28.629139072847682</c:v>
                </c:pt>
                <c:pt idx="229">
                  <c:v>28.629139072847682</c:v>
                </c:pt>
                <c:pt idx="230">
                  <c:v>28.629139072847682</c:v>
                </c:pt>
                <c:pt idx="231">
                  <c:v>28.629139072847682</c:v>
                </c:pt>
                <c:pt idx="232">
                  <c:v>28.629139072847682</c:v>
                </c:pt>
                <c:pt idx="233">
                  <c:v>28.629139072847682</c:v>
                </c:pt>
                <c:pt idx="234">
                  <c:v>28.629139072847682</c:v>
                </c:pt>
                <c:pt idx="235">
                  <c:v>28.629139072847682</c:v>
                </c:pt>
                <c:pt idx="236">
                  <c:v>28.629139072847682</c:v>
                </c:pt>
                <c:pt idx="237">
                  <c:v>28.629139072847682</c:v>
                </c:pt>
                <c:pt idx="238">
                  <c:v>28.629139072847682</c:v>
                </c:pt>
                <c:pt idx="239">
                  <c:v>28.629139072847682</c:v>
                </c:pt>
                <c:pt idx="240">
                  <c:v>28.629139072847682</c:v>
                </c:pt>
                <c:pt idx="241">
                  <c:v>28.629139072847682</c:v>
                </c:pt>
                <c:pt idx="242">
                  <c:v>28.629139072847682</c:v>
                </c:pt>
                <c:pt idx="243">
                  <c:v>28.629139072847682</c:v>
                </c:pt>
                <c:pt idx="244">
                  <c:v>28.629139072847682</c:v>
                </c:pt>
                <c:pt idx="245">
                  <c:v>28.629139072847682</c:v>
                </c:pt>
                <c:pt idx="246">
                  <c:v>28.629139072847682</c:v>
                </c:pt>
                <c:pt idx="247">
                  <c:v>28.629139072847682</c:v>
                </c:pt>
                <c:pt idx="248">
                  <c:v>28.629139072847682</c:v>
                </c:pt>
                <c:pt idx="249">
                  <c:v>28.629139072847682</c:v>
                </c:pt>
                <c:pt idx="250">
                  <c:v>28.629139072847682</c:v>
                </c:pt>
                <c:pt idx="251">
                  <c:v>28.629139072847682</c:v>
                </c:pt>
                <c:pt idx="252">
                  <c:v>28.629139072847682</c:v>
                </c:pt>
                <c:pt idx="253">
                  <c:v>28.629139072847682</c:v>
                </c:pt>
                <c:pt idx="254">
                  <c:v>28.629139072847682</c:v>
                </c:pt>
                <c:pt idx="255">
                  <c:v>28.629139072847682</c:v>
                </c:pt>
                <c:pt idx="256">
                  <c:v>28.629139072847682</c:v>
                </c:pt>
                <c:pt idx="257">
                  <c:v>28.629139072847682</c:v>
                </c:pt>
                <c:pt idx="258">
                  <c:v>28.629139072847682</c:v>
                </c:pt>
                <c:pt idx="259">
                  <c:v>28.629139072847682</c:v>
                </c:pt>
                <c:pt idx="260">
                  <c:v>28.629139072847682</c:v>
                </c:pt>
                <c:pt idx="261">
                  <c:v>28.629139072847682</c:v>
                </c:pt>
                <c:pt idx="262">
                  <c:v>28.629139072847682</c:v>
                </c:pt>
                <c:pt idx="263">
                  <c:v>28.629139072847682</c:v>
                </c:pt>
                <c:pt idx="264">
                  <c:v>28.629139072847682</c:v>
                </c:pt>
                <c:pt idx="265">
                  <c:v>28.629139072847682</c:v>
                </c:pt>
                <c:pt idx="266">
                  <c:v>28.629139072847682</c:v>
                </c:pt>
                <c:pt idx="267">
                  <c:v>28.629139072847682</c:v>
                </c:pt>
                <c:pt idx="268">
                  <c:v>28.629139072847682</c:v>
                </c:pt>
                <c:pt idx="269">
                  <c:v>28.629139072847682</c:v>
                </c:pt>
                <c:pt idx="270">
                  <c:v>28.629139072847682</c:v>
                </c:pt>
                <c:pt idx="271">
                  <c:v>28.629139072847682</c:v>
                </c:pt>
                <c:pt idx="272">
                  <c:v>28.629139072847682</c:v>
                </c:pt>
                <c:pt idx="273">
                  <c:v>28.629139072847682</c:v>
                </c:pt>
                <c:pt idx="274">
                  <c:v>28.629139072847682</c:v>
                </c:pt>
                <c:pt idx="275">
                  <c:v>28.629139072847682</c:v>
                </c:pt>
                <c:pt idx="276">
                  <c:v>28.629139072847682</c:v>
                </c:pt>
                <c:pt idx="277">
                  <c:v>28.629139072847682</c:v>
                </c:pt>
                <c:pt idx="278">
                  <c:v>28.629139072847682</c:v>
                </c:pt>
                <c:pt idx="279">
                  <c:v>28.629139072847682</c:v>
                </c:pt>
                <c:pt idx="280">
                  <c:v>28.629139072847682</c:v>
                </c:pt>
                <c:pt idx="281">
                  <c:v>28.629139072847682</c:v>
                </c:pt>
                <c:pt idx="282">
                  <c:v>28.629139072847682</c:v>
                </c:pt>
                <c:pt idx="283">
                  <c:v>28.629139072847682</c:v>
                </c:pt>
                <c:pt idx="284">
                  <c:v>28.629139072847682</c:v>
                </c:pt>
                <c:pt idx="285">
                  <c:v>28.629139072847682</c:v>
                </c:pt>
                <c:pt idx="286">
                  <c:v>28.629139072847682</c:v>
                </c:pt>
                <c:pt idx="287">
                  <c:v>28.629139072847682</c:v>
                </c:pt>
                <c:pt idx="288">
                  <c:v>28.629139072847682</c:v>
                </c:pt>
                <c:pt idx="289">
                  <c:v>28.629139072847682</c:v>
                </c:pt>
                <c:pt idx="290">
                  <c:v>28.629139072847682</c:v>
                </c:pt>
                <c:pt idx="291">
                  <c:v>28.629139072847682</c:v>
                </c:pt>
                <c:pt idx="292">
                  <c:v>28.629139072847682</c:v>
                </c:pt>
                <c:pt idx="293">
                  <c:v>28.629139072847682</c:v>
                </c:pt>
                <c:pt idx="294">
                  <c:v>28.629139072847682</c:v>
                </c:pt>
                <c:pt idx="295">
                  <c:v>28.629139072847682</c:v>
                </c:pt>
                <c:pt idx="296">
                  <c:v>28.629139072847682</c:v>
                </c:pt>
                <c:pt idx="297">
                  <c:v>28.629139072847682</c:v>
                </c:pt>
                <c:pt idx="298">
                  <c:v>28.629139072847682</c:v>
                </c:pt>
                <c:pt idx="299">
                  <c:v>28.629139072847682</c:v>
                </c:pt>
                <c:pt idx="300">
                  <c:v>28.629139072847682</c:v>
                </c:pt>
                <c:pt idx="301">
                  <c:v>28.629139072847682</c:v>
                </c:pt>
              </c:numCache>
            </c:numRef>
          </c:xVal>
          <c:yVal>
            <c:numRef>
              <c:f>Feuil2!$H$3:$H$305</c:f>
              <c:numCache>
                <c:formatCode>General</c:formatCode>
                <c:ptCount val="302"/>
                <c:pt idx="0">
                  <c:v>0.47</c:v>
                </c:pt>
                <c:pt idx="1">
                  <c:v>1.47</c:v>
                </c:pt>
                <c:pt idx="2">
                  <c:v>2.4699999999999998</c:v>
                </c:pt>
                <c:pt idx="3">
                  <c:v>3.4699999999999998</c:v>
                </c:pt>
                <c:pt idx="4">
                  <c:v>4.47</c:v>
                </c:pt>
                <c:pt idx="5">
                  <c:v>5.47</c:v>
                </c:pt>
                <c:pt idx="6">
                  <c:v>6.47</c:v>
                </c:pt>
                <c:pt idx="7">
                  <c:v>7.47</c:v>
                </c:pt>
                <c:pt idx="8">
                  <c:v>8.4699999999999989</c:v>
                </c:pt>
                <c:pt idx="9">
                  <c:v>9.4699999999999989</c:v>
                </c:pt>
                <c:pt idx="10">
                  <c:v>10.469999999999999</c:v>
                </c:pt>
                <c:pt idx="11">
                  <c:v>11.469999999999999</c:v>
                </c:pt>
                <c:pt idx="12">
                  <c:v>12.469999999999999</c:v>
                </c:pt>
                <c:pt idx="13">
                  <c:v>13.469999999999999</c:v>
                </c:pt>
                <c:pt idx="14">
                  <c:v>14.469999999999999</c:v>
                </c:pt>
                <c:pt idx="15">
                  <c:v>15.469999999999999</c:v>
                </c:pt>
                <c:pt idx="16">
                  <c:v>16.47</c:v>
                </c:pt>
                <c:pt idx="17">
                  <c:v>17.47</c:v>
                </c:pt>
                <c:pt idx="18">
                  <c:v>18.47</c:v>
                </c:pt>
                <c:pt idx="19">
                  <c:v>19.47</c:v>
                </c:pt>
                <c:pt idx="20">
                  <c:v>20.47</c:v>
                </c:pt>
                <c:pt idx="21">
                  <c:v>21.47</c:v>
                </c:pt>
                <c:pt idx="22">
                  <c:v>22.47</c:v>
                </c:pt>
                <c:pt idx="23">
                  <c:v>23.47</c:v>
                </c:pt>
                <c:pt idx="24">
                  <c:v>24.47</c:v>
                </c:pt>
                <c:pt idx="25">
                  <c:v>25.47</c:v>
                </c:pt>
                <c:pt idx="26">
                  <c:v>26.47</c:v>
                </c:pt>
                <c:pt idx="27">
                  <c:v>27.47</c:v>
                </c:pt>
                <c:pt idx="28">
                  <c:v>28.47</c:v>
                </c:pt>
                <c:pt idx="29">
                  <c:v>29.47</c:v>
                </c:pt>
                <c:pt idx="30">
                  <c:v>30.47</c:v>
                </c:pt>
                <c:pt idx="31">
                  <c:v>31.47</c:v>
                </c:pt>
                <c:pt idx="32">
                  <c:v>32.47</c:v>
                </c:pt>
                <c:pt idx="33">
                  <c:v>33.47</c:v>
                </c:pt>
                <c:pt idx="34">
                  <c:v>34.47</c:v>
                </c:pt>
                <c:pt idx="35">
                  <c:v>35.47</c:v>
                </c:pt>
                <c:pt idx="36">
                  <c:v>36.47</c:v>
                </c:pt>
                <c:pt idx="37">
                  <c:v>37.47</c:v>
                </c:pt>
                <c:pt idx="38">
                  <c:v>38.47</c:v>
                </c:pt>
                <c:pt idx="39">
                  <c:v>39.47</c:v>
                </c:pt>
                <c:pt idx="40">
                  <c:v>40.47</c:v>
                </c:pt>
                <c:pt idx="41">
                  <c:v>41.47</c:v>
                </c:pt>
                <c:pt idx="42">
                  <c:v>42.47</c:v>
                </c:pt>
                <c:pt idx="43">
                  <c:v>43.47</c:v>
                </c:pt>
                <c:pt idx="44">
                  <c:v>44.47</c:v>
                </c:pt>
                <c:pt idx="45">
                  <c:v>45.47</c:v>
                </c:pt>
                <c:pt idx="46">
                  <c:v>46.47</c:v>
                </c:pt>
                <c:pt idx="47">
                  <c:v>47.47</c:v>
                </c:pt>
                <c:pt idx="48">
                  <c:v>48.47</c:v>
                </c:pt>
                <c:pt idx="49">
                  <c:v>49.47</c:v>
                </c:pt>
                <c:pt idx="50">
                  <c:v>50.47</c:v>
                </c:pt>
                <c:pt idx="51">
                  <c:v>51.47</c:v>
                </c:pt>
                <c:pt idx="52">
                  <c:v>52.47</c:v>
                </c:pt>
                <c:pt idx="53">
                  <c:v>53.47</c:v>
                </c:pt>
                <c:pt idx="54">
                  <c:v>54.47</c:v>
                </c:pt>
                <c:pt idx="55">
                  <c:v>55.47</c:v>
                </c:pt>
                <c:pt idx="56">
                  <c:v>56.47</c:v>
                </c:pt>
                <c:pt idx="57">
                  <c:v>57.47</c:v>
                </c:pt>
                <c:pt idx="58">
                  <c:v>58.47</c:v>
                </c:pt>
                <c:pt idx="59">
                  <c:v>59.47</c:v>
                </c:pt>
                <c:pt idx="60">
                  <c:v>60.47</c:v>
                </c:pt>
                <c:pt idx="61">
                  <c:v>61.47</c:v>
                </c:pt>
                <c:pt idx="62">
                  <c:v>62.47</c:v>
                </c:pt>
                <c:pt idx="63">
                  <c:v>63.47</c:v>
                </c:pt>
                <c:pt idx="64">
                  <c:v>64.47</c:v>
                </c:pt>
                <c:pt idx="65">
                  <c:v>65.47</c:v>
                </c:pt>
                <c:pt idx="66">
                  <c:v>66.47</c:v>
                </c:pt>
                <c:pt idx="67">
                  <c:v>67.47</c:v>
                </c:pt>
                <c:pt idx="68">
                  <c:v>68.47</c:v>
                </c:pt>
                <c:pt idx="69">
                  <c:v>69.47</c:v>
                </c:pt>
                <c:pt idx="70">
                  <c:v>70.47</c:v>
                </c:pt>
                <c:pt idx="71">
                  <c:v>71.47</c:v>
                </c:pt>
                <c:pt idx="72">
                  <c:v>72.47</c:v>
                </c:pt>
                <c:pt idx="73">
                  <c:v>73.47</c:v>
                </c:pt>
                <c:pt idx="74">
                  <c:v>74.47</c:v>
                </c:pt>
                <c:pt idx="75">
                  <c:v>75.47</c:v>
                </c:pt>
                <c:pt idx="76">
                  <c:v>76.47</c:v>
                </c:pt>
                <c:pt idx="77">
                  <c:v>77.47</c:v>
                </c:pt>
                <c:pt idx="78">
                  <c:v>78.47</c:v>
                </c:pt>
                <c:pt idx="79">
                  <c:v>79.47</c:v>
                </c:pt>
                <c:pt idx="80">
                  <c:v>80.47</c:v>
                </c:pt>
                <c:pt idx="81">
                  <c:v>81.47</c:v>
                </c:pt>
                <c:pt idx="82">
                  <c:v>82.47</c:v>
                </c:pt>
                <c:pt idx="83">
                  <c:v>83.47</c:v>
                </c:pt>
                <c:pt idx="84">
                  <c:v>84.47</c:v>
                </c:pt>
                <c:pt idx="85">
                  <c:v>85.47</c:v>
                </c:pt>
                <c:pt idx="86">
                  <c:v>86.47</c:v>
                </c:pt>
                <c:pt idx="87">
                  <c:v>87.47</c:v>
                </c:pt>
                <c:pt idx="88">
                  <c:v>88.47</c:v>
                </c:pt>
                <c:pt idx="89">
                  <c:v>89.47</c:v>
                </c:pt>
                <c:pt idx="90">
                  <c:v>90.47</c:v>
                </c:pt>
                <c:pt idx="91">
                  <c:v>91.47</c:v>
                </c:pt>
                <c:pt idx="92">
                  <c:v>92.47</c:v>
                </c:pt>
                <c:pt idx="93">
                  <c:v>93.47</c:v>
                </c:pt>
                <c:pt idx="94">
                  <c:v>94.47</c:v>
                </c:pt>
                <c:pt idx="95">
                  <c:v>95.47</c:v>
                </c:pt>
                <c:pt idx="96">
                  <c:v>96.47</c:v>
                </c:pt>
                <c:pt idx="97">
                  <c:v>97.47</c:v>
                </c:pt>
                <c:pt idx="98">
                  <c:v>98.47</c:v>
                </c:pt>
                <c:pt idx="99">
                  <c:v>99.47</c:v>
                </c:pt>
                <c:pt idx="100">
                  <c:v>100.47</c:v>
                </c:pt>
                <c:pt idx="101">
                  <c:v>101.47</c:v>
                </c:pt>
                <c:pt idx="102">
                  <c:v>102.47</c:v>
                </c:pt>
                <c:pt idx="103">
                  <c:v>103.47</c:v>
                </c:pt>
                <c:pt idx="104">
                  <c:v>104.47</c:v>
                </c:pt>
                <c:pt idx="105">
                  <c:v>105.47</c:v>
                </c:pt>
                <c:pt idx="106">
                  <c:v>106.47</c:v>
                </c:pt>
                <c:pt idx="107">
                  <c:v>107.47</c:v>
                </c:pt>
                <c:pt idx="108">
                  <c:v>108.47</c:v>
                </c:pt>
                <c:pt idx="109">
                  <c:v>109.47</c:v>
                </c:pt>
                <c:pt idx="110">
                  <c:v>110.47</c:v>
                </c:pt>
                <c:pt idx="111">
                  <c:v>111.47</c:v>
                </c:pt>
                <c:pt idx="112">
                  <c:v>112.47</c:v>
                </c:pt>
                <c:pt idx="113">
                  <c:v>113.47</c:v>
                </c:pt>
                <c:pt idx="114">
                  <c:v>114.47</c:v>
                </c:pt>
                <c:pt idx="115">
                  <c:v>115.47</c:v>
                </c:pt>
                <c:pt idx="116">
                  <c:v>116.47</c:v>
                </c:pt>
                <c:pt idx="117">
                  <c:v>117.47</c:v>
                </c:pt>
                <c:pt idx="118">
                  <c:v>118.47</c:v>
                </c:pt>
                <c:pt idx="119">
                  <c:v>119.47</c:v>
                </c:pt>
                <c:pt idx="120">
                  <c:v>120.47</c:v>
                </c:pt>
                <c:pt idx="121">
                  <c:v>121.47</c:v>
                </c:pt>
                <c:pt idx="122">
                  <c:v>122.47</c:v>
                </c:pt>
                <c:pt idx="123">
                  <c:v>123.47</c:v>
                </c:pt>
                <c:pt idx="124">
                  <c:v>124.47</c:v>
                </c:pt>
                <c:pt idx="125">
                  <c:v>125.47</c:v>
                </c:pt>
                <c:pt idx="126">
                  <c:v>126.47</c:v>
                </c:pt>
                <c:pt idx="127">
                  <c:v>127.47</c:v>
                </c:pt>
                <c:pt idx="128">
                  <c:v>128.47</c:v>
                </c:pt>
                <c:pt idx="129">
                  <c:v>129.47</c:v>
                </c:pt>
                <c:pt idx="130">
                  <c:v>130.47</c:v>
                </c:pt>
                <c:pt idx="131">
                  <c:v>131.47</c:v>
                </c:pt>
                <c:pt idx="132">
                  <c:v>132.47</c:v>
                </c:pt>
                <c:pt idx="133">
                  <c:v>133.47</c:v>
                </c:pt>
                <c:pt idx="134">
                  <c:v>134.47</c:v>
                </c:pt>
                <c:pt idx="135">
                  <c:v>135.47</c:v>
                </c:pt>
                <c:pt idx="136">
                  <c:v>136.47</c:v>
                </c:pt>
                <c:pt idx="137">
                  <c:v>137.47</c:v>
                </c:pt>
                <c:pt idx="138">
                  <c:v>138.47</c:v>
                </c:pt>
                <c:pt idx="139">
                  <c:v>139.47</c:v>
                </c:pt>
                <c:pt idx="140">
                  <c:v>140.47</c:v>
                </c:pt>
                <c:pt idx="141">
                  <c:v>141.47</c:v>
                </c:pt>
                <c:pt idx="142">
                  <c:v>142.47</c:v>
                </c:pt>
                <c:pt idx="143">
                  <c:v>143.47</c:v>
                </c:pt>
                <c:pt idx="144">
                  <c:v>144.47</c:v>
                </c:pt>
                <c:pt idx="145">
                  <c:v>145.47</c:v>
                </c:pt>
                <c:pt idx="146">
                  <c:v>146.47</c:v>
                </c:pt>
                <c:pt idx="147">
                  <c:v>147.47</c:v>
                </c:pt>
                <c:pt idx="148">
                  <c:v>148.47</c:v>
                </c:pt>
                <c:pt idx="149">
                  <c:v>149.47</c:v>
                </c:pt>
                <c:pt idx="150">
                  <c:v>150.47</c:v>
                </c:pt>
                <c:pt idx="151">
                  <c:v>151.47</c:v>
                </c:pt>
                <c:pt idx="152">
                  <c:v>152.47</c:v>
                </c:pt>
                <c:pt idx="153">
                  <c:v>153.47</c:v>
                </c:pt>
                <c:pt idx="154">
                  <c:v>154.47</c:v>
                </c:pt>
                <c:pt idx="155">
                  <c:v>155.47</c:v>
                </c:pt>
                <c:pt idx="156">
                  <c:v>156.47</c:v>
                </c:pt>
                <c:pt idx="157">
                  <c:v>157.47</c:v>
                </c:pt>
                <c:pt idx="158">
                  <c:v>158.47</c:v>
                </c:pt>
                <c:pt idx="159">
                  <c:v>159.47</c:v>
                </c:pt>
                <c:pt idx="160">
                  <c:v>160.47</c:v>
                </c:pt>
                <c:pt idx="161">
                  <c:v>161.47</c:v>
                </c:pt>
                <c:pt idx="162">
                  <c:v>162.47</c:v>
                </c:pt>
                <c:pt idx="163">
                  <c:v>163.47</c:v>
                </c:pt>
                <c:pt idx="164">
                  <c:v>164.47</c:v>
                </c:pt>
                <c:pt idx="165">
                  <c:v>165.47</c:v>
                </c:pt>
                <c:pt idx="166">
                  <c:v>166.47</c:v>
                </c:pt>
                <c:pt idx="167">
                  <c:v>167.47</c:v>
                </c:pt>
                <c:pt idx="168">
                  <c:v>168.47</c:v>
                </c:pt>
                <c:pt idx="169">
                  <c:v>169.47</c:v>
                </c:pt>
                <c:pt idx="170">
                  <c:v>170.47</c:v>
                </c:pt>
                <c:pt idx="171">
                  <c:v>171.47</c:v>
                </c:pt>
                <c:pt idx="172">
                  <c:v>172.47</c:v>
                </c:pt>
                <c:pt idx="173">
                  <c:v>173.47</c:v>
                </c:pt>
                <c:pt idx="174">
                  <c:v>174.47</c:v>
                </c:pt>
                <c:pt idx="175">
                  <c:v>175.47</c:v>
                </c:pt>
                <c:pt idx="176">
                  <c:v>176.47</c:v>
                </c:pt>
                <c:pt idx="177">
                  <c:v>177.47</c:v>
                </c:pt>
                <c:pt idx="178">
                  <c:v>178.47</c:v>
                </c:pt>
                <c:pt idx="179">
                  <c:v>179.47</c:v>
                </c:pt>
                <c:pt idx="180">
                  <c:v>180.47</c:v>
                </c:pt>
                <c:pt idx="181">
                  <c:v>181.47</c:v>
                </c:pt>
                <c:pt idx="182">
                  <c:v>182.47</c:v>
                </c:pt>
                <c:pt idx="183">
                  <c:v>183.47</c:v>
                </c:pt>
                <c:pt idx="184">
                  <c:v>184.47</c:v>
                </c:pt>
                <c:pt idx="185">
                  <c:v>185.47</c:v>
                </c:pt>
                <c:pt idx="186">
                  <c:v>186.47</c:v>
                </c:pt>
                <c:pt idx="187">
                  <c:v>187.47</c:v>
                </c:pt>
                <c:pt idx="188">
                  <c:v>188.47</c:v>
                </c:pt>
                <c:pt idx="189">
                  <c:v>189.47</c:v>
                </c:pt>
                <c:pt idx="190">
                  <c:v>190.47</c:v>
                </c:pt>
                <c:pt idx="191">
                  <c:v>191.47</c:v>
                </c:pt>
                <c:pt idx="192">
                  <c:v>192.47</c:v>
                </c:pt>
                <c:pt idx="193">
                  <c:v>193.47</c:v>
                </c:pt>
                <c:pt idx="194">
                  <c:v>194.47</c:v>
                </c:pt>
                <c:pt idx="195">
                  <c:v>195.47</c:v>
                </c:pt>
                <c:pt idx="196">
                  <c:v>196.47</c:v>
                </c:pt>
                <c:pt idx="197">
                  <c:v>197.47</c:v>
                </c:pt>
                <c:pt idx="198">
                  <c:v>198.47</c:v>
                </c:pt>
                <c:pt idx="199">
                  <c:v>199.47</c:v>
                </c:pt>
                <c:pt idx="200">
                  <c:v>200.47</c:v>
                </c:pt>
                <c:pt idx="201">
                  <c:v>201.47</c:v>
                </c:pt>
                <c:pt idx="202">
                  <c:v>202.47</c:v>
                </c:pt>
                <c:pt idx="203">
                  <c:v>203.47</c:v>
                </c:pt>
                <c:pt idx="204">
                  <c:v>204.47</c:v>
                </c:pt>
                <c:pt idx="205">
                  <c:v>205.47</c:v>
                </c:pt>
                <c:pt idx="206">
                  <c:v>206.47</c:v>
                </c:pt>
                <c:pt idx="207">
                  <c:v>207.47</c:v>
                </c:pt>
                <c:pt idx="208">
                  <c:v>208.47</c:v>
                </c:pt>
                <c:pt idx="209">
                  <c:v>209.47</c:v>
                </c:pt>
                <c:pt idx="210">
                  <c:v>210.47</c:v>
                </c:pt>
                <c:pt idx="211">
                  <c:v>211.47</c:v>
                </c:pt>
                <c:pt idx="212">
                  <c:v>212.47</c:v>
                </c:pt>
                <c:pt idx="213">
                  <c:v>213.47</c:v>
                </c:pt>
                <c:pt idx="214">
                  <c:v>214.47</c:v>
                </c:pt>
                <c:pt idx="215">
                  <c:v>215.47</c:v>
                </c:pt>
                <c:pt idx="216">
                  <c:v>216.47</c:v>
                </c:pt>
                <c:pt idx="217">
                  <c:v>217.47</c:v>
                </c:pt>
                <c:pt idx="218">
                  <c:v>218.47</c:v>
                </c:pt>
                <c:pt idx="219">
                  <c:v>219.47</c:v>
                </c:pt>
                <c:pt idx="220">
                  <c:v>220.47</c:v>
                </c:pt>
                <c:pt idx="221">
                  <c:v>221.47</c:v>
                </c:pt>
                <c:pt idx="222">
                  <c:v>222.47</c:v>
                </c:pt>
                <c:pt idx="223">
                  <c:v>223.47</c:v>
                </c:pt>
                <c:pt idx="224">
                  <c:v>224.47</c:v>
                </c:pt>
                <c:pt idx="225">
                  <c:v>225.47</c:v>
                </c:pt>
                <c:pt idx="226">
                  <c:v>226.47</c:v>
                </c:pt>
                <c:pt idx="227">
                  <c:v>227.47</c:v>
                </c:pt>
                <c:pt idx="228">
                  <c:v>228.47</c:v>
                </c:pt>
                <c:pt idx="229">
                  <c:v>229.47</c:v>
                </c:pt>
                <c:pt idx="230">
                  <c:v>230.47</c:v>
                </c:pt>
                <c:pt idx="231">
                  <c:v>231.47</c:v>
                </c:pt>
                <c:pt idx="232">
                  <c:v>232.47</c:v>
                </c:pt>
                <c:pt idx="233">
                  <c:v>233.47</c:v>
                </c:pt>
                <c:pt idx="234">
                  <c:v>234.47</c:v>
                </c:pt>
                <c:pt idx="235">
                  <c:v>235.47</c:v>
                </c:pt>
                <c:pt idx="236">
                  <c:v>236.47</c:v>
                </c:pt>
                <c:pt idx="237">
                  <c:v>237.47</c:v>
                </c:pt>
                <c:pt idx="238">
                  <c:v>238.47</c:v>
                </c:pt>
                <c:pt idx="239">
                  <c:v>239.47</c:v>
                </c:pt>
                <c:pt idx="240">
                  <c:v>240.47</c:v>
                </c:pt>
                <c:pt idx="241">
                  <c:v>241.47</c:v>
                </c:pt>
                <c:pt idx="242">
                  <c:v>242.47</c:v>
                </c:pt>
                <c:pt idx="243">
                  <c:v>243.47</c:v>
                </c:pt>
                <c:pt idx="244">
                  <c:v>244.47</c:v>
                </c:pt>
                <c:pt idx="245">
                  <c:v>245.47</c:v>
                </c:pt>
                <c:pt idx="246">
                  <c:v>246.47</c:v>
                </c:pt>
                <c:pt idx="247">
                  <c:v>247.47</c:v>
                </c:pt>
                <c:pt idx="248">
                  <c:v>248.47</c:v>
                </c:pt>
                <c:pt idx="249">
                  <c:v>249.47</c:v>
                </c:pt>
                <c:pt idx="250">
                  <c:v>250.47</c:v>
                </c:pt>
                <c:pt idx="251">
                  <c:v>251.47</c:v>
                </c:pt>
                <c:pt idx="252">
                  <c:v>252.47</c:v>
                </c:pt>
                <c:pt idx="253">
                  <c:v>253.47</c:v>
                </c:pt>
                <c:pt idx="254">
                  <c:v>254.47</c:v>
                </c:pt>
                <c:pt idx="255">
                  <c:v>255.47</c:v>
                </c:pt>
                <c:pt idx="256">
                  <c:v>256.47000000000003</c:v>
                </c:pt>
                <c:pt idx="257">
                  <c:v>257.47000000000003</c:v>
                </c:pt>
                <c:pt idx="258">
                  <c:v>258.47000000000003</c:v>
                </c:pt>
                <c:pt idx="259">
                  <c:v>259.47000000000003</c:v>
                </c:pt>
                <c:pt idx="260">
                  <c:v>260.47000000000003</c:v>
                </c:pt>
                <c:pt idx="261">
                  <c:v>261.47000000000003</c:v>
                </c:pt>
                <c:pt idx="262">
                  <c:v>262.47000000000003</c:v>
                </c:pt>
                <c:pt idx="263">
                  <c:v>263.47000000000003</c:v>
                </c:pt>
                <c:pt idx="264">
                  <c:v>264.47000000000003</c:v>
                </c:pt>
                <c:pt idx="265">
                  <c:v>265.47000000000003</c:v>
                </c:pt>
                <c:pt idx="266">
                  <c:v>266.47000000000003</c:v>
                </c:pt>
                <c:pt idx="267">
                  <c:v>267.47000000000003</c:v>
                </c:pt>
                <c:pt idx="268">
                  <c:v>268.47000000000003</c:v>
                </c:pt>
                <c:pt idx="269">
                  <c:v>269.47000000000003</c:v>
                </c:pt>
                <c:pt idx="270">
                  <c:v>270.47000000000003</c:v>
                </c:pt>
                <c:pt idx="271">
                  <c:v>271.47000000000003</c:v>
                </c:pt>
                <c:pt idx="272">
                  <c:v>272.47000000000003</c:v>
                </c:pt>
                <c:pt idx="273">
                  <c:v>273.47000000000003</c:v>
                </c:pt>
                <c:pt idx="274">
                  <c:v>274.47000000000003</c:v>
                </c:pt>
                <c:pt idx="275">
                  <c:v>275.47000000000003</c:v>
                </c:pt>
                <c:pt idx="276">
                  <c:v>276.47000000000003</c:v>
                </c:pt>
                <c:pt idx="277">
                  <c:v>277.47000000000003</c:v>
                </c:pt>
                <c:pt idx="278">
                  <c:v>278.47000000000003</c:v>
                </c:pt>
                <c:pt idx="279">
                  <c:v>279.47000000000003</c:v>
                </c:pt>
                <c:pt idx="280">
                  <c:v>280.47000000000003</c:v>
                </c:pt>
                <c:pt idx="281">
                  <c:v>281.47000000000003</c:v>
                </c:pt>
                <c:pt idx="282">
                  <c:v>282.47000000000003</c:v>
                </c:pt>
                <c:pt idx="283">
                  <c:v>283.47000000000003</c:v>
                </c:pt>
                <c:pt idx="284">
                  <c:v>284.47000000000003</c:v>
                </c:pt>
                <c:pt idx="285">
                  <c:v>285.47000000000003</c:v>
                </c:pt>
                <c:pt idx="286">
                  <c:v>286.47000000000003</c:v>
                </c:pt>
                <c:pt idx="287">
                  <c:v>287.47000000000003</c:v>
                </c:pt>
                <c:pt idx="288">
                  <c:v>288.47000000000003</c:v>
                </c:pt>
                <c:pt idx="289">
                  <c:v>289.47000000000003</c:v>
                </c:pt>
                <c:pt idx="290">
                  <c:v>290.47000000000003</c:v>
                </c:pt>
                <c:pt idx="291">
                  <c:v>291.47000000000003</c:v>
                </c:pt>
                <c:pt idx="292">
                  <c:v>292.47000000000003</c:v>
                </c:pt>
                <c:pt idx="293">
                  <c:v>293.47000000000003</c:v>
                </c:pt>
                <c:pt idx="294">
                  <c:v>294.47000000000003</c:v>
                </c:pt>
                <c:pt idx="295">
                  <c:v>295.47000000000003</c:v>
                </c:pt>
                <c:pt idx="296">
                  <c:v>296.47000000000003</c:v>
                </c:pt>
                <c:pt idx="297">
                  <c:v>297.47000000000003</c:v>
                </c:pt>
                <c:pt idx="298">
                  <c:v>298.47000000000003</c:v>
                </c:pt>
                <c:pt idx="299">
                  <c:v>299.47000000000003</c:v>
                </c:pt>
                <c:pt idx="300">
                  <c:v>300.47000000000003</c:v>
                </c:pt>
                <c:pt idx="301">
                  <c:v>301.47000000000003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F7-4DB2-B3B9-B26FB2D64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52120"/>
        <c:axId val="585046216"/>
      </c:scatterChart>
      <c:catAx>
        <c:axId val="49755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7553152"/>
        <c:crossesAt val="0"/>
        <c:auto val="1"/>
        <c:lblAlgn val="ctr"/>
        <c:lblOffset val="100"/>
        <c:noMultiLvlLbl val="0"/>
      </c:catAx>
      <c:valAx>
        <c:axId val="49755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7558400"/>
        <c:crosses val="autoZero"/>
        <c:crossBetween val="between"/>
      </c:valAx>
      <c:valAx>
        <c:axId val="58504621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585052120"/>
        <c:crosses val="max"/>
        <c:crossBetween val="midCat"/>
      </c:valAx>
      <c:valAx>
        <c:axId val="585052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5046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772208</xdr:colOff>
      <xdr:row>317</xdr:row>
      <xdr:rowOff>2241</xdr:rowOff>
    </xdr:from>
    <xdr:to>
      <xdr:col>6</xdr:col>
      <xdr:colOff>4232</xdr:colOff>
      <xdr:row>328</xdr:row>
      <xdr:rowOff>95125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625FCBF-821A-44DA-8338-EBCC32E07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10161</xdr:colOff>
      <xdr:row>0</xdr:row>
      <xdr:rowOff>38100</xdr:rowOff>
    </xdr:from>
    <xdr:to>
      <xdr:col>1</xdr:col>
      <xdr:colOff>1448436</xdr:colOff>
      <xdr:row>0</xdr:row>
      <xdr:rowOff>901065</xdr:rowOff>
    </xdr:to>
    <xdr:pic>
      <xdr:nvPicPr>
        <xdr:cNvPr id="7" name="ZnGenLogo">
          <a:extLst>
            <a:ext uri="{FF2B5EF4-FFF2-40B4-BE49-F238E27FC236}">
              <a16:creationId xmlns:a16="http://schemas.microsoft.com/office/drawing/2014/main" id="{E6C62EEF-15FA-408D-83FB-88798BD1F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1" y="38100"/>
          <a:ext cx="1438275" cy="86296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au1" displayName="Tableau1" ref="B13:H316" totalsRowShown="0" headerRowDxfId="12" dataDxfId="11" tableBorderDxfId="10">
  <autoFilter ref="B13:H316"/>
  <tableColumns count="7">
    <tableColumn id="1" name="Nom" dataDxfId="9"/>
    <tableColumn id="2" name="Prénom" dataDxfId="8"/>
    <tableColumn id="3" name="Société" dataDxfId="7"/>
    <tableColumn id="4" name="Résultat" dataDxfId="5">
      <calculatedColumnFormula>IF(H14="","",FIXED(H14,1) &amp; " / " &amp; "50")</calculatedColumnFormula>
    </tableColumn>
    <tableColumn id="5" name="Décision" dataDxfId="6"/>
    <tableColumn id="6" name="Colonne1" dataDxfId="4"/>
    <tableColumn id="7" name="Colonne2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QuizzBoxExcelTheme">
      <a:dk1>
        <a:sysClr val="windowText" lastClr="000000"/>
      </a:dk1>
      <a:lt1>
        <a:sysClr val="window" lastClr="FFFFFF"/>
      </a:lt1>
      <a:dk2>
        <a:srgbClr val="283275"/>
      </a:dk2>
      <a:lt2>
        <a:srgbClr val="E7E6E6"/>
      </a:lt2>
      <a:accent1>
        <a:srgbClr val="283275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K403"/>
  <sheetViews>
    <sheetView tabSelected="1" topLeftCell="B1" zoomScaleNormal="100" workbookViewId="0">
      <selection activeCell="O4" sqref="O4"/>
    </sheetView>
  </sheetViews>
  <sheetFormatPr baseColWidth="10" defaultColWidth="10.7109375" defaultRowHeight="15.75" x14ac:dyDescent="0.25"/>
  <cols>
    <col min="1" max="1" width="0" style="25" hidden="1" customWidth="1"/>
    <col min="2" max="2" width="23.28515625" style="25" customWidth="1"/>
    <col min="3" max="3" width="21.85546875" style="25" customWidth="1"/>
    <col min="4" max="4" width="19.7109375" style="25" customWidth="1"/>
    <col min="5" max="5" width="17.42578125" style="25" customWidth="1"/>
    <col min="6" max="6" width="17.7109375" style="25" customWidth="1"/>
    <col min="7" max="7" width="14.7109375" style="25" hidden="1" customWidth="1"/>
    <col min="8" max="8" width="10.7109375" style="25" hidden="1" customWidth="1"/>
    <col min="9" max="9" width="9.140625" style="25" hidden="1" customWidth="1"/>
    <col min="10" max="11" width="0" style="25" hidden="1" customWidth="1"/>
    <col min="12" max="16384" width="10.7109375" style="25"/>
  </cols>
  <sheetData>
    <row r="1" spans="1:11" ht="81" customHeight="1" x14ac:dyDescent="0.25">
      <c r="A1" s="33"/>
      <c r="D1" s="22"/>
    </row>
    <row r="2" spans="1:11" x14ac:dyDescent="0.25">
      <c r="A2" s="27"/>
      <c r="B2" s="34" t="s">
        <v>43</v>
      </c>
      <c r="E2" s="35"/>
    </row>
    <row r="3" spans="1:11" x14ac:dyDescent="0.25">
      <c r="A3" s="27"/>
      <c r="B3" s="34"/>
      <c r="C3" s="36"/>
      <c r="D3" s="37" t="s">
        <v>0</v>
      </c>
      <c r="E3" s="35" t="s">
        <v>44</v>
      </c>
      <c r="G3" s="38"/>
      <c r="H3" s="22"/>
    </row>
    <row r="4" spans="1:11" x14ac:dyDescent="0.25">
      <c r="A4" s="27"/>
      <c r="B4" s="25" t="str">
        <f>znGenCodePostal&amp;" "&amp;znGenVille</f>
        <v xml:space="preserve"> </v>
      </c>
      <c r="C4" s="36"/>
      <c r="D4" s="37" t="s">
        <v>26</v>
      </c>
      <c r="E4" s="32">
        <v>45353.573576388888</v>
      </c>
      <c r="G4" s="39"/>
    </row>
    <row r="5" spans="1:11" ht="12" customHeight="1" x14ac:dyDescent="0.25">
      <c r="A5" s="27"/>
      <c r="B5" s="39"/>
      <c r="D5" s="40"/>
      <c r="E5" s="35"/>
    </row>
    <row r="6" spans="1:11" x14ac:dyDescent="0.25">
      <c r="A6" s="27"/>
      <c r="B6" s="37" t="s">
        <v>1</v>
      </c>
      <c r="C6" s="35"/>
      <c r="D6" s="37" t="s">
        <v>2</v>
      </c>
      <c r="E6" s="35"/>
    </row>
    <row r="7" spans="1:11" x14ac:dyDescent="0.25">
      <c r="A7" s="27"/>
      <c r="B7" s="37" t="s">
        <v>39</v>
      </c>
      <c r="C7" s="41">
        <v>302</v>
      </c>
      <c r="D7" s="37" t="s">
        <v>37</v>
      </c>
      <c r="E7" s="39"/>
    </row>
    <row r="8" spans="1:11" ht="18.75" customHeight="1" x14ac:dyDescent="0.25"/>
    <row r="9" spans="1:11" ht="19.149999999999999" customHeight="1" x14ac:dyDescent="0.25">
      <c r="A9" s="27"/>
      <c r="B9" s="52" t="s">
        <v>45</v>
      </c>
      <c r="C9" s="52"/>
      <c r="D9" s="53">
        <f>AVERAGE(H:H)</f>
        <v>28.629139072847682</v>
      </c>
      <c r="E9" s="54">
        <f>MAX(H13:H316)</f>
        <v>42</v>
      </c>
      <c r="F9" s="54">
        <f>MIN(H13:H316)</f>
        <v>0</v>
      </c>
      <c r="J9" s="48">
        <f>D9</f>
        <v>28.629139072847682</v>
      </c>
      <c r="K9" s="25">
        <v>50</v>
      </c>
    </row>
    <row r="10" spans="1:11" ht="19.149999999999999" customHeight="1" x14ac:dyDescent="0.25">
      <c r="B10" s="52"/>
      <c r="C10" s="52"/>
      <c r="D10" s="53"/>
      <c r="E10" s="54"/>
      <c r="F10" s="54"/>
      <c r="J10" s="25">
        <f>J9*K10/K9</f>
        <v>57.258278145695364</v>
      </c>
      <c r="K10" s="25">
        <v>100</v>
      </c>
    </row>
    <row r="11" spans="1:11" ht="14.45" customHeight="1" x14ac:dyDescent="0.25">
      <c r="B11" s="32">
        <v>45353.573576388888</v>
      </c>
      <c r="D11" s="23" t="s">
        <v>40</v>
      </c>
      <c r="E11" s="24" t="s">
        <v>41</v>
      </c>
      <c r="F11" s="24" t="s">
        <v>42</v>
      </c>
    </row>
    <row r="12" spans="1:11" ht="18.75" customHeight="1" x14ac:dyDescent="0.25">
      <c r="D12" s="26"/>
      <c r="E12" s="26"/>
    </row>
    <row r="13" spans="1:11" ht="29.45" customHeight="1" x14ac:dyDescent="0.25">
      <c r="A13" s="27"/>
      <c r="B13" s="42" t="s">
        <v>3</v>
      </c>
      <c r="C13" s="43" t="s">
        <v>4</v>
      </c>
      <c r="D13" s="43" t="s">
        <v>5</v>
      </c>
      <c r="E13" s="43" t="s">
        <v>6</v>
      </c>
      <c r="F13" s="44" t="s">
        <v>38</v>
      </c>
      <c r="G13" s="55" t="s">
        <v>48</v>
      </c>
      <c r="H13" s="55" t="s">
        <v>49</v>
      </c>
    </row>
    <row r="14" spans="1:11" ht="20.65" customHeight="1" x14ac:dyDescent="0.25">
      <c r="A14" s="27"/>
      <c r="B14" s="28" t="s">
        <v>46</v>
      </c>
      <c r="C14" s="28" t="s">
        <v>47</v>
      </c>
      <c r="D14" s="28"/>
      <c r="E14" s="29" t="str">
        <f t="shared" ref="E14:E316" si="0">IF(H14="","",FIXED(H14,1) &amp; " / " &amp; "50")</f>
        <v>34,0 / 50</v>
      </c>
      <c r="F14" s="28" t="str">
        <f>IF(G14=2,"Réussi",IF(G14=1,"Ajourné",""))</f>
        <v>Réussi</v>
      </c>
      <c r="G14" s="25">
        <v>2</v>
      </c>
      <c r="H14" s="25">
        <v>34</v>
      </c>
    </row>
    <row r="15" spans="1:11" ht="20.65" customHeight="1" x14ac:dyDescent="0.25">
      <c r="A15" s="27"/>
      <c r="B15" s="28" t="s">
        <v>50</v>
      </c>
      <c r="C15" s="28" t="s">
        <v>51</v>
      </c>
      <c r="D15" s="28"/>
      <c r="E15" s="29" t="str">
        <f>IF(H15="","",FIXED(H15,1) &amp; " / " &amp; "50")</f>
        <v>34,0 / 50</v>
      </c>
      <c r="F15" s="28" t="str">
        <f>IF(G15=2,"Réussi",IF(G15=1,"Ajourné",""))</f>
        <v>Réussi</v>
      </c>
      <c r="G15" s="25">
        <v>2</v>
      </c>
      <c r="H15" s="25">
        <v>34</v>
      </c>
    </row>
    <row r="16" spans="1:11" ht="20.65" customHeight="1" x14ac:dyDescent="0.25">
      <c r="A16" s="27"/>
      <c r="B16" s="28" t="s">
        <v>52</v>
      </c>
      <c r="C16" s="28" t="s">
        <v>53</v>
      </c>
      <c r="D16" s="28"/>
      <c r="E16" s="29" t="str">
        <f>IF(H16="","",FIXED(H16,1) &amp; " / " &amp; "50")</f>
        <v>32,0 / 50</v>
      </c>
      <c r="F16" s="28" t="str">
        <f>IF(G16=2,"Réussi",IF(G16=1,"Ajourné",""))</f>
        <v>Réussi</v>
      </c>
      <c r="G16" s="25">
        <v>2</v>
      </c>
      <c r="H16" s="25">
        <v>32</v>
      </c>
    </row>
    <row r="17" spans="1:8" ht="20.65" customHeight="1" x14ac:dyDescent="0.25">
      <c r="A17" s="27"/>
      <c r="B17" s="28" t="s">
        <v>54</v>
      </c>
      <c r="C17" s="28" t="s">
        <v>55</v>
      </c>
      <c r="D17" s="28"/>
      <c r="E17" s="29" t="str">
        <f>IF(H17="","",FIXED(H17,1) &amp; " / " &amp; "50")</f>
        <v>36,0 / 50</v>
      </c>
      <c r="F17" s="28" t="str">
        <f>IF(G17=2,"Réussi",IF(G17=1,"Ajourné",""))</f>
        <v>Réussi</v>
      </c>
      <c r="G17" s="25">
        <v>2</v>
      </c>
      <c r="H17" s="25">
        <v>36</v>
      </c>
    </row>
    <row r="18" spans="1:8" ht="20.65" customHeight="1" x14ac:dyDescent="0.25">
      <c r="A18" s="27"/>
      <c r="B18" s="28" t="s">
        <v>56</v>
      </c>
      <c r="C18" s="28"/>
      <c r="D18" s="28"/>
      <c r="E18" s="29" t="str">
        <f>IF(H18="","",FIXED(H18,1) &amp; " / " &amp; "50")</f>
        <v>22,0 / 50</v>
      </c>
      <c r="F18" s="28" t="str">
        <f>IF(G18=2,"Réussi",IF(G18=1,"Ajourné",""))</f>
        <v>Ajourné</v>
      </c>
      <c r="G18" s="25">
        <v>1</v>
      </c>
      <c r="H18" s="25">
        <v>22</v>
      </c>
    </row>
    <row r="19" spans="1:8" ht="20.65" customHeight="1" x14ac:dyDescent="0.25">
      <c r="A19" s="27"/>
      <c r="B19" s="28" t="s">
        <v>57</v>
      </c>
      <c r="C19" s="28" t="s">
        <v>58</v>
      </c>
      <c r="D19" s="28"/>
      <c r="E19" s="29" t="str">
        <f>IF(H19="","",FIXED(H19,1) &amp; " / " &amp; "50")</f>
        <v>16,0 / 50</v>
      </c>
      <c r="F19" s="28" t="str">
        <f>IF(G19=2,"Réussi",IF(G19=1,"Ajourné",""))</f>
        <v>Ajourné</v>
      </c>
      <c r="G19" s="25">
        <v>1</v>
      </c>
      <c r="H19" s="25">
        <v>16</v>
      </c>
    </row>
    <row r="20" spans="1:8" ht="20.65" customHeight="1" x14ac:dyDescent="0.25">
      <c r="A20" s="27"/>
      <c r="B20" s="28" t="s">
        <v>59</v>
      </c>
      <c r="C20" s="28" t="s">
        <v>60</v>
      </c>
      <c r="D20" s="28"/>
      <c r="E20" s="29" t="str">
        <f>IF(H20="","",FIXED(H20,1) &amp; " / " &amp; "50")</f>
        <v>30,0 / 50</v>
      </c>
      <c r="F20" s="28" t="str">
        <f>IF(G20=2,"Réussi",IF(G20=1,"Ajourné",""))</f>
        <v>Réussi</v>
      </c>
      <c r="G20" s="25">
        <v>2</v>
      </c>
      <c r="H20" s="25">
        <v>30</v>
      </c>
    </row>
    <row r="21" spans="1:8" ht="20.65" customHeight="1" x14ac:dyDescent="0.25">
      <c r="A21" s="27"/>
      <c r="B21" s="28" t="s">
        <v>61</v>
      </c>
      <c r="C21" s="28" t="s">
        <v>62</v>
      </c>
      <c r="D21" s="28"/>
      <c r="E21" s="29" t="str">
        <f>IF(H21="","",FIXED(H21,1) &amp; " / " &amp; "50")</f>
        <v>32,0 / 50</v>
      </c>
      <c r="F21" s="28" t="str">
        <f>IF(G21=2,"Réussi",IF(G21=1,"Ajourné",""))</f>
        <v>Réussi</v>
      </c>
      <c r="G21" s="25">
        <v>2</v>
      </c>
      <c r="H21" s="25">
        <v>32</v>
      </c>
    </row>
    <row r="22" spans="1:8" ht="20.65" customHeight="1" x14ac:dyDescent="0.25">
      <c r="A22" s="27"/>
      <c r="B22" s="28" t="s">
        <v>63</v>
      </c>
      <c r="C22" s="28" t="s">
        <v>64</v>
      </c>
      <c r="D22" s="28"/>
      <c r="E22" s="29" t="str">
        <f>IF(H22="","",FIXED(H22,1) &amp; " / " &amp; "50")</f>
        <v>28,0 / 50</v>
      </c>
      <c r="F22" s="28" t="str">
        <f>IF(G22=2,"Réussi",IF(G22=1,"Ajourné",""))</f>
        <v>Réussi</v>
      </c>
      <c r="G22" s="25">
        <v>2</v>
      </c>
      <c r="H22" s="25">
        <v>28</v>
      </c>
    </row>
    <row r="23" spans="1:8" ht="20.65" customHeight="1" x14ac:dyDescent="0.25">
      <c r="A23" s="27"/>
      <c r="B23" s="28" t="s">
        <v>65</v>
      </c>
      <c r="C23" s="28" t="s">
        <v>66</v>
      </c>
      <c r="D23" s="28"/>
      <c r="E23" s="29" t="str">
        <f>IF(H23="","",FIXED(H23,1) &amp; " / " &amp; "50")</f>
        <v>28,0 / 50</v>
      </c>
      <c r="F23" s="28" t="str">
        <f>IF(G23=2,"Réussi",IF(G23=1,"Ajourné",""))</f>
        <v>Réussi</v>
      </c>
      <c r="G23" s="25">
        <v>2</v>
      </c>
      <c r="H23" s="25">
        <v>28</v>
      </c>
    </row>
    <row r="24" spans="1:8" ht="20.65" customHeight="1" x14ac:dyDescent="0.25">
      <c r="A24" s="27"/>
      <c r="B24" s="28" t="s">
        <v>67</v>
      </c>
      <c r="C24" s="28" t="s">
        <v>68</v>
      </c>
      <c r="D24" s="28"/>
      <c r="E24" s="29" t="str">
        <f>IF(H24="","",FIXED(H24,1) &amp; " / " &amp; "50")</f>
        <v>32,0 / 50</v>
      </c>
      <c r="F24" s="28" t="str">
        <f>IF(G24=2,"Réussi",IF(G24=1,"Ajourné",""))</f>
        <v>Réussi</v>
      </c>
      <c r="G24" s="25">
        <v>2</v>
      </c>
      <c r="H24" s="25">
        <v>32</v>
      </c>
    </row>
    <row r="25" spans="1:8" ht="20.65" customHeight="1" x14ac:dyDescent="0.25">
      <c r="A25" s="27"/>
      <c r="B25" s="28" t="s">
        <v>69</v>
      </c>
      <c r="C25" s="28" t="s">
        <v>70</v>
      </c>
      <c r="D25" s="28"/>
      <c r="E25" s="29" t="str">
        <f>IF(H25="","",FIXED(H25,1) &amp; " / " &amp; "50")</f>
        <v>32,0 / 50</v>
      </c>
      <c r="F25" s="28" t="str">
        <f>IF(G25=2,"Réussi",IF(G25=1,"Ajourné",""))</f>
        <v>Réussi</v>
      </c>
      <c r="G25" s="25">
        <v>2</v>
      </c>
      <c r="H25" s="25">
        <v>32</v>
      </c>
    </row>
    <row r="26" spans="1:8" ht="20.65" customHeight="1" x14ac:dyDescent="0.25">
      <c r="A26" s="27"/>
      <c r="B26" s="28" t="s">
        <v>71</v>
      </c>
      <c r="C26" s="28" t="s">
        <v>72</v>
      </c>
      <c r="D26" s="28"/>
      <c r="E26" s="29" t="str">
        <f>IF(H26="","",FIXED(H26,1) &amp; " / " &amp; "50")</f>
        <v>28,0 / 50</v>
      </c>
      <c r="F26" s="28" t="str">
        <f>IF(G26=2,"Réussi",IF(G26=1,"Ajourné",""))</f>
        <v>Réussi</v>
      </c>
      <c r="G26" s="25">
        <v>2</v>
      </c>
      <c r="H26" s="25">
        <v>28</v>
      </c>
    </row>
    <row r="27" spans="1:8" ht="20.65" customHeight="1" x14ac:dyDescent="0.25">
      <c r="A27" s="27"/>
      <c r="B27" s="28" t="s">
        <v>73</v>
      </c>
      <c r="C27" s="28" t="s">
        <v>74</v>
      </c>
      <c r="D27" s="28"/>
      <c r="E27" s="29" t="str">
        <f>IF(H27="","",FIXED(H27,1) &amp; " / " &amp; "50")</f>
        <v>38,0 / 50</v>
      </c>
      <c r="F27" s="28" t="str">
        <f>IF(G27=2,"Réussi",IF(G27=1,"Ajourné",""))</f>
        <v>Réussi</v>
      </c>
      <c r="G27" s="25">
        <v>2</v>
      </c>
      <c r="H27" s="25">
        <v>38</v>
      </c>
    </row>
    <row r="28" spans="1:8" ht="20.65" customHeight="1" x14ac:dyDescent="0.25">
      <c r="A28" s="27"/>
      <c r="B28" s="28" t="s">
        <v>75</v>
      </c>
      <c r="C28" s="28" t="s">
        <v>76</v>
      </c>
      <c r="D28" s="28"/>
      <c r="E28" s="29" t="str">
        <f>IF(H28="","",FIXED(H28,1) &amp; " / " &amp; "50")</f>
        <v>22,0 / 50</v>
      </c>
      <c r="F28" s="28" t="str">
        <f>IF(G28=2,"Réussi",IF(G28=1,"Ajourné",""))</f>
        <v>Ajourné</v>
      </c>
      <c r="G28" s="25">
        <v>1</v>
      </c>
      <c r="H28" s="25">
        <v>22</v>
      </c>
    </row>
    <row r="29" spans="1:8" ht="20.65" customHeight="1" x14ac:dyDescent="0.25">
      <c r="A29" s="27"/>
      <c r="B29" s="28" t="s">
        <v>77</v>
      </c>
      <c r="C29" s="28" t="s">
        <v>78</v>
      </c>
      <c r="D29" s="28"/>
      <c r="E29" s="29" t="str">
        <f>IF(H29="","",FIXED(H29,1) &amp; " / " &amp; "50")</f>
        <v>28,0 / 50</v>
      </c>
      <c r="F29" s="28" t="str">
        <f>IF(G29=2,"Réussi",IF(G29=1,"Ajourné",""))</f>
        <v>Réussi</v>
      </c>
      <c r="G29" s="25">
        <v>2</v>
      </c>
      <c r="H29" s="25">
        <v>28</v>
      </c>
    </row>
    <row r="30" spans="1:8" ht="20.65" customHeight="1" x14ac:dyDescent="0.25">
      <c r="A30" s="27"/>
      <c r="B30" s="28" t="s">
        <v>79</v>
      </c>
      <c r="C30" s="28" t="s">
        <v>80</v>
      </c>
      <c r="D30" s="28"/>
      <c r="E30" s="29" t="str">
        <f>IF(H30="","",FIXED(H30,1) &amp; " / " &amp; "50")</f>
        <v>30,0 / 50</v>
      </c>
      <c r="F30" s="28" t="str">
        <f>IF(G30=2,"Réussi",IF(G30=1,"Ajourné",""))</f>
        <v>Réussi</v>
      </c>
      <c r="G30" s="25">
        <v>2</v>
      </c>
      <c r="H30" s="25">
        <v>30</v>
      </c>
    </row>
    <row r="31" spans="1:8" ht="20.65" customHeight="1" x14ac:dyDescent="0.25">
      <c r="A31" s="27"/>
      <c r="B31" s="28" t="s">
        <v>81</v>
      </c>
      <c r="C31" s="28" t="s">
        <v>82</v>
      </c>
      <c r="D31" s="28"/>
      <c r="E31" s="29" t="str">
        <f>IF(H31="","",FIXED(H31,1) &amp; " / " &amp; "50")</f>
        <v>30,0 / 50</v>
      </c>
      <c r="F31" s="28" t="str">
        <f>IF(G31=2,"Réussi",IF(G31=1,"Ajourné",""))</f>
        <v>Réussi</v>
      </c>
      <c r="G31" s="25">
        <v>2</v>
      </c>
      <c r="H31" s="25">
        <v>30</v>
      </c>
    </row>
    <row r="32" spans="1:8" ht="20.65" customHeight="1" x14ac:dyDescent="0.25">
      <c r="A32" s="27"/>
      <c r="B32" s="28" t="s">
        <v>83</v>
      </c>
      <c r="C32" s="28" t="s">
        <v>84</v>
      </c>
      <c r="D32" s="28"/>
      <c r="E32" s="29" t="str">
        <f>IF(H32="","",FIXED(H32,1) &amp; " / " &amp; "50")</f>
        <v>28,0 / 50</v>
      </c>
      <c r="F32" s="28" t="str">
        <f>IF(G32=2,"Réussi",IF(G32=1,"Ajourné",""))</f>
        <v>Réussi</v>
      </c>
      <c r="G32" s="25">
        <v>2</v>
      </c>
      <c r="H32" s="25">
        <v>28</v>
      </c>
    </row>
    <row r="33" spans="1:8" ht="20.65" customHeight="1" x14ac:dyDescent="0.25">
      <c r="A33" s="27"/>
      <c r="B33" s="28" t="s">
        <v>85</v>
      </c>
      <c r="C33" s="28" t="s">
        <v>86</v>
      </c>
      <c r="D33" s="28"/>
      <c r="E33" s="29" t="str">
        <f>IF(H33="","",FIXED(H33,1) &amp; " / " &amp; "50")</f>
        <v>18,0 / 50</v>
      </c>
      <c r="F33" s="28" t="str">
        <f>IF(G33=2,"Réussi",IF(G33=1,"Ajourné",""))</f>
        <v>Ajourné</v>
      </c>
      <c r="G33" s="25">
        <v>1</v>
      </c>
      <c r="H33" s="25">
        <v>18</v>
      </c>
    </row>
    <row r="34" spans="1:8" ht="20.65" customHeight="1" x14ac:dyDescent="0.25">
      <c r="A34" s="27"/>
      <c r="B34" s="28" t="s">
        <v>87</v>
      </c>
      <c r="C34" s="28" t="s">
        <v>88</v>
      </c>
      <c r="D34" s="28"/>
      <c r="E34" s="29" t="str">
        <f>IF(H34="","",FIXED(H34,1) &amp; " / " &amp; "50")</f>
        <v>30,0 / 50</v>
      </c>
      <c r="F34" s="28" t="str">
        <f>IF(G34=2,"Réussi",IF(G34=1,"Ajourné",""))</f>
        <v>Réussi</v>
      </c>
      <c r="G34" s="25">
        <v>2</v>
      </c>
      <c r="H34" s="25">
        <v>30</v>
      </c>
    </row>
    <row r="35" spans="1:8" ht="20.65" customHeight="1" x14ac:dyDescent="0.25">
      <c r="A35" s="27"/>
      <c r="B35" s="28" t="s">
        <v>89</v>
      </c>
      <c r="C35" s="28" t="s">
        <v>90</v>
      </c>
      <c r="D35" s="28"/>
      <c r="E35" s="29" t="str">
        <f>IF(H35="","",FIXED(H35,1) &amp; " / " &amp; "50")</f>
        <v>24,0 / 50</v>
      </c>
      <c r="F35" s="28" t="str">
        <f>IF(G35=2,"Réussi",IF(G35=1,"Ajourné",""))</f>
        <v>Ajourné</v>
      </c>
      <c r="G35" s="25">
        <v>1</v>
      </c>
      <c r="H35" s="25">
        <v>24</v>
      </c>
    </row>
    <row r="36" spans="1:8" ht="20.65" customHeight="1" x14ac:dyDescent="0.25">
      <c r="A36" s="27"/>
      <c r="B36" s="28" t="s">
        <v>91</v>
      </c>
      <c r="C36" s="28" t="s">
        <v>92</v>
      </c>
      <c r="D36" s="28"/>
      <c r="E36" s="29" t="str">
        <f>IF(H36="","",FIXED(H36,1) &amp; " / " &amp; "50")</f>
        <v>30,0 / 50</v>
      </c>
      <c r="F36" s="28" t="str">
        <f>IF(G36=2,"Réussi",IF(G36=1,"Ajourné",""))</f>
        <v>Réussi</v>
      </c>
      <c r="G36" s="25">
        <v>2</v>
      </c>
      <c r="H36" s="25">
        <v>30</v>
      </c>
    </row>
    <row r="37" spans="1:8" ht="20.65" customHeight="1" x14ac:dyDescent="0.25">
      <c r="A37" s="27"/>
      <c r="B37" s="28" t="s">
        <v>93</v>
      </c>
      <c r="C37" s="28" t="s">
        <v>94</v>
      </c>
      <c r="D37" s="28"/>
      <c r="E37" s="29" t="str">
        <f>IF(H37="","",FIXED(H37,1) &amp; " / " &amp; "50")</f>
        <v>28,0 / 50</v>
      </c>
      <c r="F37" s="28" t="str">
        <f>IF(G37=2,"Réussi",IF(G37=1,"Ajourné",""))</f>
        <v>Réussi</v>
      </c>
      <c r="G37" s="25">
        <v>2</v>
      </c>
      <c r="H37" s="25">
        <v>28</v>
      </c>
    </row>
    <row r="38" spans="1:8" ht="20.65" customHeight="1" x14ac:dyDescent="0.25">
      <c r="A38" s="27"/>
      <c r="B38" s="28" t="s">
        <v>95</v>
      </c>
      <c r="C38" s="28" t="s">
        <v>96</v>
      </c>
      <c r="D38" s="28"/>
      <c r="E38" s="29" t="str">
        <f>IF(H38="","",FIXED(H38,1) &amp; " / " &amp; "50")</f>
        <v>28,0 / 50</v>
      </c>
      <c r="F38" s="28" t="str">
        <f>IF(G38=2,"Réussi",IF(G38=1,"Ajourné",""))</f>
        <v>Réussi</v>
      </c>
      <c r="G38" s="25">
        <v>2</v>
      </c>
      <c r="H38" s="25">
        <v>28</v>
      </c>
    </row>
    <row r="39" spans="1:8" ht="20.65" customHeight="1" x14ac:dyDescent="0.25">
      <c r="A39" s="27"/>
      <c r="B39" s="28" t="s">
        <v>97</v>
      </c>
      <c r="C39" s="28" t="s">
        <v>98</v>
      </c>
      <c r="D39" s="28"/>
      <c r="E39" s="29" t="str">
        <f>IF(H39="","",FIXED(H39,1) &amp; " / " &amp; "50")</f>
        <v>20,0 / 50</v>
      </c>
      <c r="F39" s="28" t="str">
        <f>IF(G39=2,"Réussi",IF(G39=1,"Ajourné",""))</f>
        <v>Ajourné</v>
      </c>
      <c r="G39" s="25">
        <v>1</v>
      </c>
      <c r="H39" s="25">
        <v>20</v>
      </c>
    </row>
    <row r="40" spans="1:8" ht="20.65" customHeight="1" x14ac:dyDescent="0.25">
      <c r="A40" s="27"/>
      <c r="B40" s="28" t="s">
        <v>99</v>
      </c>
      <c r="C40" s="28" t="s">
        <v>100</v>
      </c>
      <c r="D40" s="28"/>
      <c r="E40" s="29" t="str">
        <f>IF(H40="","",FIXED(H40,1) &amp; " / " &amp; "50")</f>
        <v>24,0 / 50</v>
      </c>
      <c r="F40" s="28" t="str">
        <f>IF(G40=2,"Réussi",IF(G40=1,"Ajourné",""))</f>
        <v>Ajourné</v>
      </c>
      <c r="G40" s="25">
        <v>1</v>
      </c>
      <c r="H40" s="25">
        <v>24</v>
      </c>
    </row>
    <row r="41" spans="1:8" ht="20.65" customHeight="1" x14ac:dyDescent="0.25">
      <c r="A41" s="27"/>
      <c r="B41" s="28" t="s">
        <v>101</v>
      </c>
      <c r="C41" s="28" t="s">
        <v>102</v>
      </c>
      <c r="D41" s="28"/>
      <c r="E41" s="29" t="str">
        <f>IF(H41="","",FIXED(H41,1) &amp; " / " &amp; "50")</f>
        <v>34,0 / 50</v>
      </c>
      <c r="F41" s="28" t="str">
        <f>IF(G41=2,"Réussi",IF(G41=1,"Ajourné",""))</f>
        <v>Réussi</v>
      </c>
      <c r="G41" s="25">
        <v>2</v>
      </c>
      <c r="H41" s="25">
        <v>34</v>
      </c>
    </row>
    <row r="42" spans="1:8" ht="20.65" customHeight="1" x14ac:dyDescent="0.25">
      <c r="A42" s="27"/>
      <c r="B42" s="28" t="s">
        <v>103</v>
      </c>
      <c r="C42" s="28" t="s">
        <v>104</v>
      </c>
      <c r="D42" s="28"/>
      <c r="E42" s="29" t="str">
        <f>IF(H42="","",FIXED(H42,1) &amp; " / " &amp; "50")</f>
        <v>20,0 / 50</v>
      </c>
      <c r="F42" s="28" t="str">
        <f>IF(G42=2,"Réussi",IF(G42=1,"Ajourné",""))</f>
        <v>Ajourné</v>
      </c>
      <c r="G42" s="25">
        <v>1</v>
      </c>
      <c r="H42" s="25">
        <v>20</v>
      </c>
    </row>
    <row r="43" spans="1:8" ht="20.65" customHeight="1" x14ac:dyDescent="0.25">
      <c r="A43" s="27"/>
      <c r="B43" s="28" t="s">
        <v>105</v>
      </c>
      <c r="C43" s="28" t="s">
        <v>106</v>
      </c>
      <c r="D43" s="28"/>
      <c r="E43" s="29" t="str">
        <f>IF(H43="","",FIXED(H43,1) &amp; " / " &amp; "50")</f>
        <v>32,0 / 50</v>
      </c>
      <c r="F43" s="28" t="str">
        <f>IF(G43=2,"Réussi",IF(G43=1,"Ajourné",""))</f>
        <v>Réussi</v>
      </c>
      <c r="G43" s="25">
        <v>2</v>
      </c>
      <c r="H43" s="25">
        <v>32</v>
      </c>
    </row>
    <row r="44" spans="1:8" ht="20.65" customHeight="1" x14ac:dyDescent="0.25">
      <c r="A44" s="27"/>
      <c r="B44" s="28" t="s">
        <v>107</v>
      </c>
      <c r="C44" s="28" t="s">
        <v>108</v>
      </c>
      <c r="D44" s="28"/>
      <c r="E44" s="29" t="str">
        <f>IF(H44="","",FIXED(H44,1) &amp; " / " &amp; "50")</f>
        <v>34,0 / 50</v>
      </c>
      <c r="F44" s="28" t="str">
        <f>IF(G44=2,"Réussi",IF(G44=1,"Ajourné",""))</f>
        <v>Réussi</v>
      </c>
      <c r="G44" s="25">
        <v>2</v>
      </c>
      <c r="H44" s="25">
        <v>34</v>
      </c>
    </row>
    <row r="45" spans="1:8" ht="20.65" customHeight="1" x14ac:dyDescent="0.25">
      <c r="A45" s="27"/>
      <c r="B45" s="28" t="s">
        <v>109</v>
      </c>
      <c r="C45" s="28" t="s">
        <v>110</v>
      </c>
      <c r="D45" s="28"/>
      <c r="E45" s="29" t="str">
        <f>IF(H45="","",FIXED(H45,1) &amp; " / " &amp; "50")</f>
        <v>36,0 / 50</v>
      </c>
      <c r="F45" s="28" t="str">
        <f>IF(G45=2,"Réussi",IF(G45=1,"Ajourné",""))</f>
        <v>Réussi</v>
      </c>
      <c r="G45" s="25">
        <v>2</v>
      </c>
      <c r="H45" s="25">
        <v>36</v>
      </c>
    </row>
    <row r="46" spans="1:8" ht="20.65" customHeight="1" x14ac:dyDescent="0.25">
      <c r="A46" s="27"/>
      <c r="B46" s="28" t="s">
        <v>111</v>
      </c>
      <c r="C46" s="28" t="s">
        <v>112</v>
      </c>
      <c r="D46" s="28"/>
      <c r="E46" s="29" t="str">
        <f>IF(H46="","",FIXED(H46,1) &amp; " / " &amp; "50")</f>
        <v>32,0 / 50</v>
      </c>
      <c r="F46" s="28" t="str">
        <f>IF(G46=2,"Réussi",IF(G46=1,"Ajourné",""))</f>
        <v>Réussi</v>
      </c>
      <c r="G46" s="25">
        <v>2</v>
      </c>
      <c r="H46" s="25">
        <v>32</v>
      </c>
    </row>
    <row r="47" spans="1:8" ht="20.65" customHeight="1" x14ac:dyDescent="0.25">
      <c r="A47" s="27"/>
      <c r="B47" s="28" t="s">
        <v>113</v>
      </c>
      <c r="C47" s="28" t="s">
        <v>114</v>
      </c>
      <c r="D47" s="28"/>
      <c r="E47" s="29" t="str">
        <f>IF(H47="","",FIXED(H47,1) &amp; " / " &amp; "50")</f>
        <v>26,0 / 50</v>
      </c>
      <c r="F47" s="28" t="str">
        <f>IF(G47=2,"Réussi",IF(G47=1,"Ajourné",""))</f>
        <v>Réussi</v>
      </c>
      <c r="G47" s="25">
        <v>2</v>
      </c>
      <c r="H47" s="25">
        <v>26</v>
      </c>
    </row>
    <row r="48" spans="1:8" ht="20.65" customHeight="1" x14ac:dyDescent="0.25">
      <c r="A48" s="27"/>
      <c r="B48" s="28" t="s">
        <v>115</v>
      </c>
      <c r="C48" s="28" t="s">
        <v>116</v>
      </c>
      <c r="D48" s="28"/>
      <c r="E48" s="29" t="str">
        <f>IF(H48="","",FIXED(H48,1) &amp; " / " &amp; "50")</f>
        <v>30,0 / 50</v>
      </c>
      <c r="F48" s="28" t="str">
        <f>IF(G48=2,"Réussi",IF(G48=1,"Ajourné",""))</f>
        <v>Réussi</v>
      </c>
      <c r="G48" s="25">
        <v>2</v>
      </c>
      <c r="H48" s="25">
        <v>30</v>
      </c>
    </row>
    <row r="49" spans="1:8" ht="20.65" customHeight="1" x14ac:dyDescent="0.25">
      <c r="A49" s="27"/>
      <c r="B49" s="28" t="s">
        <v>117</v>
      </c>
      <c r="C49" s="28" t="s">
        <v>118</v>
      </c>
      <c r="D49" s="28"/>
      <c r="E49" s="29" t="str">
        <f>IF(H49="","",FIXED(H49,1) &amp; " / " &amp; "50")</f>
        <v>28,0 / 50</v>
      </c>
      <c r="F49" s="28" t="str">
        <f>IF(G49=2,"Réussi",IF(G49=1,"Ajourné",""))</f>
        <v>Réussi</v>
      </c>
      <c r="G49" s="25">
        <v>2</v>
      </c>
      <c r="H49" s="25">
        <v>28</v>
      </c>
    </row>
    <row r="50" spans="1:8" ht="20.65" customHeight="1" x14ac:dyDescent="0.25">
      <c r="A50" s="27"/>
      <c r="B50" s="28" t="s">
        <v>119</v>
      </c>
      <c r="C50" s="28" t="s">
        <v>120</v>
      </c>
      <c r="D50" s="28"/>
      <c r="E50" s="29" t="str">
        <f>IF(H50="","",FIXED(H50,1) &amp; " / " &amp; "50")</f>
        <v>34,0 / 50</v>
      </c>
      <c r="F50" s="28" t="str">
        <f>IF(G50=2,"Réussi",IF(G50=1,"Ajourné",""))</f>
        <v>Réussi</v>
      </c>
      <c r="G50" s="25">
        <v>2</v>
      </c>
      <c r="H50" s="25">
        <v>34</v>
      </c>
    </row>
    <row r="51" spans="1:8" ht="20.65" customHeight="1" x14ac:dyDescent="0.25">
      <c r="A51" s="27"/>
      <c r="B51" s="28" t="s">
        <v>121</v>
      </c>
      <c r="C51" s="28" t="s">
        <v>122</v>
      </c>
      <c r="D51" s="28"/>
      <c r="E51" s="29" t="str">
        <f>IF(H51="","",FIXED(H51,1) &amp; " / " &amp; "50")</f>
        <v>32,0 / 50</v>
      </c>
      <c r="F51" s="28" t="str">
        <f>IF(G51=2,"Réussi",IF(G51=1,"Ajourné",""))</f>
        <v>Réussi</v>
      </c>
      <c r="G51" s="25">
        <v>2</v>
      </c>
      <c r="H51" s="25">
        <v>32</v>
      </c>
    </row>
    <row r="52" spans="1:8" ht="20.65" customHeight="1" x14ac:dyDescent="0.25">
      <c r="A52" s="27"/>
      <c r="B52" s="28" t="s">
        <v>123</v>
      </c>
      <c r="C52" s="28" t="s">
        <v>124</v>
      </c>
      <c r="D52" s="28"/>
      <c r="E52" s="29" t="str">
        <f>IF(H52="","",FIXED(H52,1) &amp; " / " &amp; "50")</f>
        <v>30,0 / 50</v>
      </c>
      <c r="F52" s="28" t="str">
        <f>IF(G52=2,"Réussi",IF(G52=1,"Ajourné",""))</f>
        <v>Réussi</v>
      </c>
      <c r="G52" s="25">
        <v>2</v>
      </c>
      <c r="H52" s="25">
        <v>30</v>
      </c>
    </row>
    <row r="53" spans="1:8" ht="20.65" customHeight="1" x14ac:dyDescent="0.25">
      <c r="A53" s="27"/>
      <c r="B53" s="28" t="s">
        <v>125</v>
      </c>
      <c r="C53" s="28" t="s">
        <v>126</v>
      </c>
      <c r="D53" s="28"/>
      <c r="E53" s="29" t="str">
        <f>IF(H53="","",FIXED(H53,1) &amp; " / " &amp; "50")</f>
        <v>34,0 / 50</v>
      </c>
      <c r="F53" s="28" t="str">
        <f>IF(G53=2,"Réussi",IF(G53=1,"Ajourné",""))</f>
        <v>Réussi</v>
      </c>
      <c r="G53" s="25">
        <v>2</v>
      </c>
      <c r="H53" s="25">
        <v>34</v>
      </c>
    </row>
    <row r="54" spans="1:8" ht="20.65" customHeight="1" x14ac:dyDescent="0.25">
      <c r="A54" s="27"/>
      <c r="B54" s="28" t="s">
        <v>127</v>
      </c>
      <c r="C54" s="28" t="s">
        <v>128</v>
      </c>
      <c r="D54" s="28"/>
      <c r="E54" s="29" t="str">
        <f>IF(H54="","",FIXED(H54,1) &amp; " / " &amp; "50")</f>
        <v>26,0 / 50</v>
      </c>
      <c r="F54" s="28" t="str">
        <f>IF(G54=2,"Réussi",IF(G54=1,"Ajourné",""))</f>
        <v>Réussi</v>
      </c>
      <c r="G54" s="25">
        <v>2</v>
      </c>
      <c r="H54" s="25">
        <v>26</v>
      </c>
    </row>
    <row r="55" spans="1:8" ht="20.65" customHeight="1" x14ac:dyDescent="0.25">
      <c r="A55" s="27"/>
      <c r="B55" s="28" t="s">
        <v>129</v>
      </c>
      <c r="C55" s="28" t="s">
        <v>130</v>
      </c>
      <c r="D55" s="28"/>
      <c r="E55" s="29" t="str">
        <f>IF(H55="","",FIXED(H55,1) &amp; " / " &amp; "50")</f>
        <v>32,0 / 50</v>
      </c>
      <c r="F55" s="28" t="str">
        <f>IF(G55=2,"Réussi",IF(G55=1,"Ajourné",""))</f>
        <v>Réussi</v>
      </c>
      <c r="G55" s="25">
        <v>2</v>
      </c>
      <c r="H55" s="25">
        <v>32</v>
      </c>
    </row>
    <row r="56" spans="1:8" ht="20.65" customHeight="1" x14ac:dyDescent="0.25">
      <c r="A56" s="27"/>
      <c r="B56" s="28" t="s">
        <v>131</v>
      </c>
      <c r="C56" s="28" t="s">
        <v>132</v>
      </c>
      <c r="D56" s="28"/>
      <c r="E56" s="29" t="str">
        <f>IF(H56="","",FIXED(H56,1) &amp; " / " &amp; "50")</f>
        <v>30,0 / 50</v>
      </c>
      <c r="F56" s="28" t="str">
        <f>IF(G56=2,"Réussi",IF(G56=1,"Ajourné",""))</f>
        <v>Réussi</v>
      </c>
      <c r="G56" s="25">
        <v>2</v>
      </c>
      <c r="H56" s="25">
        <v>30</v>
      </c>
    </row>
    <row r="57" spans="1:8" ht="20.65" customHeight="1" x14ac:dyDescent="0.25">
      <c r="A57" s="27"/>
      <c r="B57" s="28" t="s">
        <v>133</v>
      </c>
      <c r="C57" s="28" t="s">
        <v>134</v>
      </c>
      <c r="D57" s="28"/>
      <c r="E57" s="29" t="str">
        <f>IF(H57="","",FIXED(H57,1) &amp; " / " &amp; "50")</f>
        <v>20,0 / 50</v>
      </c>
      <c r="F57" s="28" t="str">
        <f>IF(G57=2,"Réussi",IF(G57=1,"Ajourné",""))</f>
        <v>Ajourné</v>
      </c>
      <c r="G57" s="25">
        <v>1</v>
      </c>
      <c r="H57" s="25">
        <v>20</v>
      </c>
    </row>
    <row r="58" spans="1:8" ht="20.65" customHeight="1" x14ac:dyDescent="0.25">
      <c r="A58" s="27"/>
      <c r="B58" s="28" t="s">
        <v>135</v>
      </c>
      <c r="C58" s="28" t="s">
        <v>136</v>
      </c>
      <c r="D58" s="28"/>
      <c r="E58" s="29" t="str">
        <f>IF(H58="","",FIXED(H58,1) &amp; " / " &amp; "50")</f>
        <v>30,0 / 50</v>
      </c>
      <c r="F58" s="28" t="str">
        <f>IF(G58=2,"Réussi",IF(G58=1,"Ajourné",""))</f>
        <v>Réussi</v>
      </c>
      <c r="G58" s="25">
        <v>2</v>
      </c>
      <c r="H58" s="25">
        <v>30</v>
      </c>
    </row>
    <row r="59" spans="1:8" ht="20.65" customHeight="1" x14ac:dyDescent="0.25">
      <c r="A59" s="27"/>
      <c r="B59" s="28" t="s">
        <v>137</v>
      </c>
      <c r="C59" s="28" t="s">
        <v>138</v>
      </c>
      <c r="D59" s="28"/>
      <c r="E59" s="29" t="str">
        <f>IF(H59="","",FIXED(H59,1) &amp; " / " &amp; "50")</f>
        <v>28,0 / 50</v>
      </c>
      <c r="F59" s="28" t="str">
        <f>IF(G59=2,"Réussi",IF(G59=1,"Ajourné",""))</f>
        <v>Réussi</v>
      </c>
      <c r="G59" s="25">
        <v>2</v>
      </c>
      <c r="H59" s="25">
        <v>28</v>
      </c>
    </row>
    <row r="60" spans="1:8" ht="20.65" customHeight="1" x14ac:dyDescent="0.25">
      <c r="A60" s="27"/>
      <c r="B60" s="28" t="s">
        <v>139</v>
      </c>
      <c r="C60" s="28" t="s">
        <v>140</v>
      </c>
      <c r="D60" s="28"/>
      <c r="E60" s="29" t="str">
        <f>IF(H60="","",FIXED(H60,1) &amp; " / " &amp; "50")</f>
        <v>16,0 / 50</v>
      </c>
      <c r="F60" s="28" t="str">
        <f>IF(G60=2,"Réussi",IF(G60=1,"Ajourné",""))</f>
        <v>Ajourné</v>
      </c>
      <c r="G60" s="25">
        <v>1</v>
      </c>
      <c r="H60" s="25">
        <v>16</v>
      </c>
    </row>
    <row r="61" spans="1:8" ht="20.65" customHeight="1" x14ac:dyDescent="0.25">
      <c r="A61" s="27"/>
      <c r="B61" s="28" t="s">
        <v>141</v>
      </c>
      <c r="C61" s="28" t="s">
        <v>142</v>
      </c>
      <c r="D61" s="28"/>
      <c r="E61" s="29" t="str">
        <f>IF(H61="","",FIXED(H61,1) &amp; " / " &amp; "50")</f>
        <v>32,0 / 50</v>
      </c>
      <c r="F61" s="28" t="str">
        <f>IF(G61=2,"Réussi",IF(G61=1,"Ajourné",""))</f>
        <v>Réussi</v>
      </c>
      <c r="G61" s="25">
        <v>2</v>
      </c>
      <c r="H61" s="25">
        <v>32</v>
      </c>
    </row>
    <row r="62" spans="1:8" ht="20.65" customHeight="1" x14ac:dyDescent="0.25">
      <c r="A62" s="27"/>
      <c r="B62" s="28" t="s">
        <v>143</v>
      </c>
      <c r="C62" s="28" t="s">
        <v>144</v>
      </c>
      <c r="D62" s="28"/>
      <c r="E62" s="29" t="str">
        <f>IF(H62="","",FIXED(H62,1) &amp; " / " &amp; "50")</f>
        <v>34,0 / 50</v>
      </c>
      <c r="F62" s="28" t="str">
        <f>IF(G62=2,"Réussi",IF(G62=1,"Ajourné",""))</f>
        <v>Réussi</v>
      </c>
      <c r="G62" s="25">
        <v>2</v>
      </c>
      <c r="H62" s="25">
        <v>34</v>
      </c>
    </row>
    <row r="63" spans="1:8" ht="20.65" customHeight="1" x14ac:dyDescent="0.25">
      <c r="A63" s="27"/>
      <c r="B63" s="28" t="s">
        <v>145</v>
      </c>
      <c r="C63" s="28" t="s">
        <v>146</v>
      </c>
      <c r="D63" s="28"/>
      <c r="E63" s="29" t="str">
        <f>IF(H63="","",FIXED(H63,1) &amp; " / " &amp; "50")</f>
        <v>30,0 / 50</v>
      </c>
      <c r="F63" s="28" t="str">
        <f>IF(G63=2,"Réussi",IF(G63=1,"Ajourné",""))</f>
        <v>Réussi</v>
      </c>
      <c r="G63" s="25">
        <v>2</v>
      </c>
      <c r="H63" s="25">
        <v>30</v>
      </c>
    </row>
    <row r="64" spans="1:8" ht="20.65" customHeight="1" x14ac:dyDescent="0.25">
      <c r="A64" s="27"/>
      <c r="B64" s="28" t="s">
        <v>147</v>
      </c>
      <c r="C64" s="28" t="s">
        <v>148</v>
      </c>
      <c r="D64" s="28"/>
      <c r="E64" s="29" t="str">
        <f>IF(H64="","",FIXED(H64,1) &amp; " / " &amp; "50")</f>
        <v>18,0 / 50</v>
      </c>
      <c r="F64" s="28" t="str">
        <f>IF(G64=2,"Réussi",IF(G64=1,"Ajourné",""))</f>
        <v>Ajourné</v>
      </c>
      <c r="G64" s="25">
        <v>1</v>
      </c>
      <c r="H64" s="25">
        <v>18</v>
      </c>
    </row>
    <row r="65" spans="1:8" ht="20.65" customHeight="1" x14ac:dyDescent="0.25">
      <c r="A65" s="27"/>
      <c r="B65" s="28" t="s">
        <v>149</v>
      </c>
      <c r="C65" s="28" t="s">
        <v>150</v>
      </c>
      <c r="D65" s="28"/>
      <c r="E65" s="29" t="str">
        <f>IF(H65="","",FIXED(H65,1) &amp; " / " &amp; "50")</f>
        <v>30,0 / 50</v>
      </c>
      <c r="F65" s="28" t="str">
        <f>IF(G65=2,"Réussi",IF(G65=1,"Ajourné",""))</f>
        <v>Réussi</v>
      </c>
      <c r="G65" s="25">
        <v>2</v>
      </c>
      <c r="H65" s="25">
        <v>30</v>
      </c>
    </row>
    <row r="66" spans="1:8" ht="20.65" customHeight="1" x14ac:dyDescent="0.25">
      <c r="A66" s="27"/>
      <c r="B66" s="28" t="s">
        <v>151</v>
      </c>
      <c r="C66" s="28" t="s">
        <v>152</v>
      </c>
      <c r="D66" s="28"/>
      <c r="E66" s="29" t="str">
        <f>IF(H66="","",FIXED(H66,1) &amp; " / " &amp; "50")</f>
        <v>30,0 / 50</v>
      </c>
      <c r="F66" s="28" t="str">
        <f>IF(G66=2,"Réussi",IF(G66=1,"Ajourné",""))</f>
        <v>Réussi</v>
      </c>
      <c r="G66" s="25">
        <v>2</v>
      </c>
      <c r="H66" s="25">
        <v>30</v>
      </c>
    </row>
    <row r="67" spans="1:8" ht="20.65" customHeight="1" x14ac:dyDescent="0.25">
      <c r="A67" s="27"/>
      <c r="B67" s="28" t="s">
        <v>153</v>
      </c>
      <c r="C67" s="28" t="s">
        <v>154</v>
      </c>
      <c r="D67" s="28"/>
      <c r="E67" s="29" t="str">
        <f>IF(H67="","",FIXED(H67,1) &amp; " / " &amp; "50")</f>
        <v>32,0 / 50</v>
      </c>
      <c r="F67" s="28" t="str">
        <f>IF(G67=2,"Réussi",IF(G67=1,"Ajourné",""))</f>
        <v>Réussi</v>
      </c>
      <c r="G67" s="25">
        <v>2</v>
      </c>
      <c r="H67" s="25">
        <v>32</v>
      </c>
    </row>
    <row r="68" spans="1:8" ht="20.65" customHeight="1" x14ac:dyDescent="0.25">
      <c r="A68" s="27"/>
      <c r="B68" s="28" t="s">
        <v>155</v>
      </c>
      <c r="C68" s="28" t="s">
        <v>156</v>
      </c>
      <c r="D68" s="28"/>
      <c r="E68" s="29" t="str">
        <f>IF(H68="","",FIXED(H68,1) &amp; " / " &amp; "50")</f>
        <v>22,0 / 50</v>
      </c>
      <c r="F68" s="28" t="str">
        <f>IF(G68=2,"Réussi",IF(G68=1,"Ajourné",""))</f>
        <v>Ajourné</v>
      </c>
      <c r="G68" s="25">
        <v>1</v>
      </c>
      <c r="H68" s="25">
        <v>22</v>
      </c>
    </row>
    <row r="69" spans="1:8" ht="20.65" customHeight="1" x14ac:dyDescent="0.25">
      <c r="A69" s="27"/>
      <c r="B69" s="28" t="s">
        <v>157</v>
      </c>
      <c r="C69" s="28" t="s">
        <v>158</v>
      </c>
      <c r="D69" s="28"/>
      <c r="E69" s="29" t="str">
        <f>IF(H69="","",FIXED(H69,1) &amp; " / " &amp; "50")</f>
        <v>30,0 / 50</v>
      </c>
      <c r="F69" s="28" t="str">
        <f>IF(G69=2,"Réussi",IF(G69=1,"Ajourné",""))</f>
        <v>Réussi</v>
      </c>
      <c r="G69" s="25">
        <v>2</v>
      </c>
      <c r="H69" s="25">
        <v>30</v>
      </c>
    </row>
    <row r="70" spans="1:8" ht="20.65" customHeight="1" x14ac:dyDescent="0.25">
      <c r="A70" s="27"/>
      <c r="B70" s="28" t="s">
        <v>159</v>
      </c>
      <c r="C70" s="28" t="s">
        <v>160</v>
      </c>
      <c r="D70" s="28"/>
      <c r="E70" s="29" t="str">
        <f>IF(H70="","",FIXED(H70,1) &amp; " / " &amp; "50")</f>
        <v>30,0 / 50</v>
      </c>
      <c r="F70" s="28" t="str">
        <f>IF(G70=2,"Réussi",IF(G70=1,"Ajourné",""))</f>
        <v>Réussi</v>
      </c>
      <c r="G70" s="25">
        <v>2</v>
      </c>
      <c r="H70" s="25">
        <v>30</v>
      </c>
    </row>
    <row r="71" spans="1:8" ht="20.65" customHeight="1" x14ac:dyDescent="0.25">
      <c r="A71" s="27"/>
      <c r="B71" s="28" t="s">
        <v>161</v>
      </c>
      <c r="C71" s="28" t="s">
        <v>162</v>
      </c>
      <c r="D71" s="28"/>
      <c r="E71" s="29" t="str">
        <f>IF(H71="","",FIXED(H71,1) &amp; " / " &amp; "50")</f>
        <v>32,0 / 50</v>
      </c>
      <c r="F71" s="28" t="str">
        <f>IF(G71=2,"Réussi",IF(G71=1,"Ajourné",""))</f>
        <v>Réussi</v>
      </c>
      <c r="G71" s="25">
        <v>2</v>
      </c>
      <c r="H71" s="25">
        <v>32</v>
      </c>
    </row>
    <row r="72" spans="1:8" ht="20.65" customHeight="1" x14ac:dyDescent="0.25">
      <c r="A72" s="27"/>
      <c r="B72" s="28" t="s">
        <v>163</v>
      </c>
      <c r="C72" s="28" t="s">
        <v>164</v>
      </c>
      <c r="D72" s="28"/>
      <c r="E72" s="29" t="str">
        <f>IF(H72="","",FIXED(H72,1) &amp; " / " &amp; "50")</f>
        <v>24,0 / 50</v>
      </c>
      <c r="F72" s="28" t="str">
        <f>IF(G72=2,"Réussi",IF(G72=1,"Ajourné",""))</f>
        <v>Ajourné</v>
      </c>
      <c r="G72" s="25">
        <v>1</v>
      </c>
      <c r="H72" s="25">
        <v>24</v>
      </c>
    </row>
    <row r="73" spans="1:8" ht="20.65" customHeight="1" x14ac:dyDescent="0.25">
      <c r="A73" s="27"/>
      <c r="B73" s="28" t="s">
        <v>165</v>
      </c>
      <c r="C73" s="28" t="s">
        <v>166</v>
      </c>
      <c r="D73" s="28"/>
      <c r="E73" s="29" t="str">
        <f>IF(H73="","",FIXED(H73,1) &amp; " / " &amp; "50")</f>
        <v>30,0 / 50</v>
      </c>
      <c r="F73" s="28" t="str">
        <f>IF(G73=2,"Réussi",IF(G73=1,"Ajourné",""))</f>
        <v>Réussi</v>
      </c>
      <c r="G73" s="25">
        <v>2</v>
      </c>
      <c r="H73" s="25">
        <v>30</v>
      </c>
    </row>
    <row r="74" spans="1:8" ht="20.65" customHeight="1" x14ac:dyDescent="0.25">
      <c r="A74" s="27"/>
      <c r="B74" s="28" t="s">
        <v>167</v>
      </c>
      <c r="C74" s="28" t="s">
        <v>168</v>
      </c>
      <c r="D74" s="28"/>
      <c r="E74" s="29" t="str">
        <f>IF(H74="","",FIXED(H74,1) &amp; " / " &amp; "50")</f>
        <v>26,0 / 50</v>
      </c>
      <c r="F74" s="28" t="str">
        <f>IF(G74=2,"Réussi",IF(G74=1,"Ajourné",""))</f>
        <v>Réussi</v>
      </c>
      <c r="G74" s="25">
        <v>2</v>
      </c>
      <c r="H74" s="25">
        <v>26</v>
      </c>
    </row>
    <row r="75" spans="1:8" ht="20.65" customHeight="1" x14ac:dyDescent="0.25">
      <c r="A75" s="27"/>
      <c r="B75" s="28" t="s">
        <v>169</v>
      </c>
      <c r="C75" s="28" t="s">
        <v>170</v>
      </c>
      <c r="D75" s="28"/>
      <c r="E75" s="29" t="str">
        <f>IF(H75="","",FIXED(H75,1) &amp; " / " &amp; "50")</f>
        <v>32,0 / 50</v>
      </c>
      <c r="F75" s="28" t="str">
        <f>IF(G75=2,"Réussi",IF(G75=1,"Ajourné",""))</f>
        <v>Réussi</v>
      </c>
      <c r="G75" s="25">
        <v>2</v>
      </c>
      <c r="H75" s="25">
        <v>32</v>
      </c>
    </row>
    <row r="76" spans="1:8" ht="20.65" customHeight="1" x14ac:dyDescent="0.25">
      <c r="A76" s="27"/>
      <c r="B76" s="28" t="s">
        <v>171</v>
      </c>
      <c r="C76" s="28" t="s">
        <v>172</v>
      </c>
      <c r="D76" s="28"/>
      <c r="E76" s="29" t="str">
        <f>IF(H76="","",FIXED(H76,1) &amp; " / " &amp; "50")</f>
        <v>30,0 / 50</v>
      </c>
      <c r="F76" s="28" t="str">
        <f>IF(G76=2,"Réussi",IF(G76=1,"Ajourné",""))</f>
        <v>Réussi</v>
      </c>
      <c r="G76" s="25">
        <v>2</v>
      </c>
      <c r="H76" s="25">
        <v>30</v>
      </c>
    </row>
    <row r="77" spans="1:8" ht="20.65" customHeight="1" x14ac:dyDescent="0.25">
      <c r="A77" s="27"/>
      <c r="B77" s="28" t="s">
        <v>173</v>
      </c>
      <c r="C77" s="28" t="s">
        <v>174</v>
      </c>
      <c r="D77" s="28"/>
      <c r="E77" s="29" t="str">
        <f>IF(H77="","",FIXED(H77,1) &amp; " / " &amp; "50")</f>
        <v>24,0 / 50</v>
      </c>
      <c r="F77" s="28" t="str">
        <f>IF(G77=2,"Réussi",IF(G77=1,"Ajourné",""))</f>
        <v>Ajourné</v>
      </c>
      <c r="G77" s="25">
        <v>1</v>
      </c>
      <c r="H77" s="25">
        <v>24</v>
      </c>
    </row>
    <row r="78" spans="1:8" ht="20.65" customHeight="1" x14ac:dyDescent="0.25">
      <c r="A78" s="27"/>
      <c r="B78" s="28" t="s">
        <v>175</v>
      </c>
      <c r="C78" s="28" t="s">
        <v>176</v>
      </c>
      <c r="D78" s="28"/>
      <c r="E78" s="29" t="str">
        <f>IF(H78="","",FIXED(H78,1) &amp; " / " &amp; "50")</f>
        <v>32,0 / 50</v>
      </c>
      <c r="F78" s="28" t="str">
        <f>IF(G78=2,"Réussi",IF(G78=1,"Ajourné",""))</f>
        <v>Réussi</v>
      </c>
      <c r="G78" s="25">
        <v>2</v>
      </c>
      <c r="H78" s="25">
        <v>32</v>
      </c>
    </row>
    <row r="79" spans="1:8" ht="20.65" customHeight="1" x14ac:dyDescent="0.25">
      <c r="A79" s="27"/>
      <c r="B79" s="28" t="s">
        <v>177</v>
      </c>
      <c r="C79" s="28" t="s">
        <v>178</v>
      </c>
      <c r="D79" s="28"/>
      <c r="E79" s="29" t="str">
        <f>IF(H79="","",FIXED(H79,1) &amp; " / " &amp; "50")</f>
        <v>22,0 / 50</v>
      </c>
      <c r="F79" s="28" t="str">
        <f>IF(G79=2,"Réussi",IF(G79=1,"Ajourné",""))</f>
        <v>Ajourné</v>
      </c>
      <c r="G79" s="25">
        <v>1</v>
      </c>
      <c r="H79" s="25">
        <v>22</v>
      </c>
    </row>
    <row r="80" spans="1:8" ht="20.65" customHeight="1" x14ac:dyDescent="0.25">
      <c r="A80" s="27"/>
      <c r="B80" s="28" t="s">
        <v>179</v>
      </c>
      <c r="C80" s="28" t="s">
        <v>180</v>
      </c>
      <c r="D80" s="28"/>
      <c r="E80" s="29" t="str">
        <f>IF(H80="","",FIXED(H80,1) &amp; " / " &amp; "50")</f>
        <v>24,0 / 50</v>
      </c>
      <c r="F80" s="28" t="str">
        <f>IF(G80=2,"Réussi",IF(G80=1,"Ajourné",""))</f>
        <v>Ajourné</v>
      </c>
      <c r="G80" s="25">
        <v>1</v>
      </c>
      <c r="H80" s="25">
        <v>24</v>
      </c>
    </row>
    <row r="81" spans="1:8" ht="20.65" customHeight="1" x14ac:dyDescent="0.25">
      <c r="A81" s="27"/>
      <c r="B81" s="28" t="s">
        <v>181</v>
      </c>
      <c r="C81" s="28" t="s">
        <v>182</v>
      </c>
      <c r="D81" s="28"/>
      <c r="E81" s="29" t="str">
        <f>IF(H81="","",FIXED(H81,1) &amp; " / " &amp; "50")</f>
        <v>32,0 / 50</v>
      </c>
      <c r="F81" s="28" t="str">
        <f>IF(G81=2,"Réussi",IF(G81=1,"Ajourné",""))</f>
        <v>Réussi</v>
      </c>
      <c r="G81" s="25">
        <v>2</v>
      </c>
      <c r="H81" s="25">
        <v>32</v>
      </c>
    </row>
    <row r="82" spans="1:8" ht="20.65" customHeight="1" x14ac:dyDescent="0.25">
      <c r="A82" s="27"/>
      <c r="B82" s="28" t="s">
        <v>183</v>
      </c>
      <c r="C82" s="28" t="s">
        <v>184</v>
      </c>
      <c r="D82" s="28"/>
      <c r="E82" s="29" t="str">
        <f>IF(H82="","",FIXED(H82,1) &amp; " / " &amp; "50")</f>
        <v>28,0 / 50</v>
      </c>
      <c r="F82" s="28" t="str">
        <f>IF(G82=2,"Réussi",IF(G82=1,"Ajourné",""))</f>
        <v>Réussi</v>
      </c>
      <c r="G82" s="25">
        <v>2</v>
      </c>
      <c r="H82" s="25">
        <v>28</v>
      </c>
    </row>
    <row r="83" spans="1:8" ht="20.65" customHeight="1" x14ac:dyDescent="0.25">
      <c r="A83" s="27"/>
      <c r="B83" s="28" t="s">
        <v>185</v>
      </c>
      <c r="C83" s="28" t="s">
        <v>186</v>
      </c>
      <c r="D83" s="28"/>
      <c r="E83" s="29" t="str">
        <f>IF(H83="","",FIXED(H83,1) &amp; " / " &amp; "50")</f>
        <v>24,0 / 50</v>
      </c>
      <c r="F83" s="28" t="str">
        <f>IF(G83=2,"Réussi",IF(G83=1,"Ajourné",""))</f>
        <v>Ajourné</v>
      </c>
      <c r="G83" s="25">
        <v>1</v>
      </c>
      <c r="H83" s="25">
        <v>24</v>
      </c>
    </row>
    <row r="84" spans="1:8" ht="20.65" customHeight="1" x14ac:dyDescent="0.25">
      <c r="A84" s="27"/>
      <c r="B84" s="28" t="s">
        <v>187</v>
      </c>
      <c r="C84" s="28" t="s">
        <v>188</v>
      </c>
      <c r="D84" s="28"/>
      <c r="E84" s="29" t="str">
        <f>IF(H84="","",FIXED(H84,1) &amp; " / " &amp; "50")</f>
        <v>26,0 / 50</v>
      </c>
      <c r="F84" s="28" t="str">
        <f>IF(G84=2,"Réussi",IF(G84=1,"Ajourné",""))</f>
        <v>Réussi</v>
      </c>
      <c r="G84" s="25">
        <v>2</v>
      </c>
      <c r="H84" s="25">
        <v>26</v>
      </c>
    </row>
    <row r="85" spans="1:8" ht="20.65" customHeight="1" x14ac:dyDescent="0.25">
      <c r="A85" s="27"/>
      <c r="B85" s="28" t="s">
        <v>189</v>
      </c>
      <c r="C85" s="28" t="s">
        <v>190</v>
      </c>
      <c r="D85" s="28"/>
      <c r="E85" s="29" t="str">
        <f>IF(H85="","",FIXED(H85,1) &amp; " / " &amp; "50")</f>
        <v>30,0 / 50</v>
      </c>
      <c r="F85" s="28" t="str">
        <f>IF(G85=2,"Réussi",IF(G85=1,"Ajourné",""))</f>
        <v>Réussi</v>
      </c>
      <c r="G85" s="25">
        <v>2</v>
      </c>
      <c r="H85" s="25">
        <v>30</v>
      </c>
    </row>
    <row r="86" spans="1:8" ht="20.65" customHeight="1" x14ac:dyDescent="0.25">
      <c r="A86" s="27"/>
      <c r="B86" s="28" t="s">
        <v>191</v>
      </c>
      <c r="C86" s="28" t="s">
        <v>192</v>
      </c>
      <c r="D86" s="28"/>
      <c r="E86" s="29" t="str">
        <f>IF(H86="","",FIXED(H86,1) &amp; " / " &amp; "50")</f>
        <v>34,0 / 50</v>
      </c>
      <c r="F86" s="28" t="str">
        <f>IF(G86=2,"Réussi",IF(G86=1,"Ajourné",""))</f>
        <v>Réussi</v>
      </c>
      <c r="G86" s="25">
        <v>2</v>
      </c>
      <c r="H86" s="25">
        <v>34</v>
      </c>
    </row>
    <row r="87" spans="1:8" ht="20.65" customHeight="1" x14ac:dyDescent="0.25">
      <c r="A87" s="27"/>
      <c r="B87" s="28" t="s">
        <v>193</v>
      </c>
      <c r="C87" s="28" t="s">
        <v>194</v>
      </c>
      <c r="D87" s="28"/>
      <c r="E87" s="29" t="str">
        <f>IF(H87="","",FIXED(H87,1) &amp; " / " &amp; "50")</f>
        <v>32,0 / 50</v>
      </c>
      <c r="F87" s="28" t="str">
        <f>IF(G87=2,"Réussi",IF(G87=1,"Ajourné",""))</f>
        <v>Réussi</v>
      </c>
      <c r="G87" s="25">
        <v>2</v>
      </c>
      <c r="H87" s="25">
        <v>32</v>
      </c>
    </row>
    <row r="88" spans="1:8" ht="20.65" customHeight="1" x14ac:dyDescent="0.25">
      <c r="A88" s="27"/>
      <c r="B88" s="28" t="s">
        <v>195</v>
      </c>
      <c r="C88" s="28" t="s">
        <v>196</v>
      </c>
      <c r="D88" s="28"/>
      <c r="E88" s="29" t="str">
        <f>IF(H88="","",FIXED(H88,1) &amp; " / " &amp; "50")</f>
        <v>32,0 / 50</v>
      </c>
      <c r="F88" s="28" t="str">
        <f>IF(G88=2,"Réussi",IF(G88=1,"Ajourné",""))</f>
        <v>Réussi</v>
      </c>
      <c r="G88" s="25">
        <v>2</v>
      </c>
      <c r="H88" s="25">
        <v>32</v>
      </c>
    </row>
    <row r="89" spans="1:8" ht="20.65" customHeight="1" x14ac:dyDescent="0.25">
      <c r="A89" s="27"/>
      <c r="B89" s="28" t="s">
        <v>197</v>
      </c>
      <c r="C89" s="28" t="s">
        <v>198</v>
      </c>
      <c r="D89" s="28"/>
      <c r="E89" s="29" t="str">
        <f>IF(H89="","",FIXED(H89,1) &amp; " / " &amp; "50")</f>
        <v>32,0 / 50</v>
      </c>
      <c r="F89" s="28" t="str">
        <f>IF(G89=2,"Réussi",IF(G89=1,"Ajourné",""))</f>
        <v>Réussi</v>
      </c>
      <c r="G89" s="25">
        <v>2</v>
      </c>
      <c r="H89" s="25">
        <v>32</v>
      </c>
    </row>
    <row r="90" spans="1:8" ht="20.65" customHeight="1" x14ac:dyDescent="0.25">
      <c r="A90" s="27"/>
      <c r="B90" s="28" t="s">
        <v>199</v>
      </c>
      <c r="C90" s="28" t="s">
        <v>200</v>
      </c>
      <c r="D90" s="28"/>
      <c r="E90" s="29" t="str">
        <f>IF(H90="","",FIXED(H90,1) &amp; " / " &amp; "50")</f>
        <v>34,0 / 50</v>
      </c>
      <c r="F90" s="28" t="str">
        <f>IF(G90=2,"Réussi",IF(G90=1,"Ajourné",""))</f>
        <v>Réussi</v>
      </c>
      <c r="G90" s="25">
        <v>2</v>
      </c>
      <c r="H90" s="25">
        <v>34</v>
      </c>
    </row>
    <row r="91" spans="1:8" ht="20.65" customHeight="1" x14ac:dyDescent="0.25">
      <c r="A91" s="27"/>
      <c r="B91" s="28" t="s">
        <v>201</v>
      </c>
      <c r="C91" s="28" t="s">
        <v>202</v>
      </c>
      <c r="D91" s="28"/>
      <c r="E91" s="29" t="str">
        <f>IF(H91="","",FIXED(H91,1) &amp; " / " &amp; "50")</f>
        <v>24,0 / 50</v>
      </c>
      <c r="F91" s="28" t="str">
        <f>IF(G91=2,"Réussi",IF(G91=1,"Ajourné",""))</f>
        <v>Ajourné</v>
      </c>
      <c r="G91" s="25">
        <v>1</v>
      </c>
      <c r="H91" s="25">
        <v>24</v>
      </c>
    </row>
    <row r="92" spans="1:8" ht="20.65" customHeight="1" x14ac:dyDescent="0.25">
      <c r="A92" s="27"/>
      <c r="B92" s="28" t="s">
        <v>203</v>
      </c>
      <c r="C92" s="28"/>
      <c r="D92" s="28"/>
      <c r="E92" s="29" t="str">
        <f>IF(H92="","",FIXED(H92,1) &amp; " / " &amp; "50")</f>
        <v>24,0 / 50</v>
      </c>
      <c r="F92" s="28" t="str">
        <f>IF(G92=2,"Réussi",IF(G92=1,"Ajourné",""))</f>
        <v>Ajourné</v>
      </c>
      <c r="G92" s="25">
        <v>1</v>
      </c>
      <c r="H92" s="25">
        <v>24</v>
      </c>
    </row>
    <row r="93" spans="1:8" ht="20.65" customHeight="1" x14ac:dyDescent="0.25">
      <c r="A93" s="27"/>
      <c r="B93" s="28" t="s">
        <v>204</v>
      </c>
      <c r="C93" s="28" t="s">
        <v>205</v>
      </c>
      <c r="D93" s="28"/>
      <c r="E93" s="29" t="str">
        <f>IF(H93="","",FIXED(H93,1) &amp; " / " &amp; "50")</f>
        <v>24,0 / 50</v>
      </c>
      <c r="F93" s="28" t="str">
        <f>IF(G93=2,"Réussi",IF(G93=1,"Ajourné",""))</f>
        <v>Ajourné</v>
      </c>
      <c r="G93" s="25">
        <v>1</v>
      </c>
      <c r="H93" s="25">
        <v>24</v>
      </c>
    </row>
    <row r="94" spans="1:8" ht="20.65" customHeight="1" x14ac:dyDescent="0.25">
      <c r="A94" s="27"/>
      <c r="B94" s="28" t="s">
        <v>206</v>
      </c>
      <c r="C94" s="28" t="s">
        <v>207</v>
      </c>
      <c r="D94" s="28"/>
      <c r="E94" s="29" t="str">
        <f>IF(H94="","",FIXED(H94,1) &amp; " / " &amp; "50")</f>
        <v>28,0 / 50</v>
      </c>
      <c r="F94" s="28" t="str">
        <f>IF(G94=2,"Réussi",IF(G94=1,"Ajourné",""))</f>
        <v>Réussi</v>
      </c>
      <c r="G94" s="25">
        <v>2</v>
      </c>
      <c r="H94" s="25">
        <v>28</v>
      </c>
    </row>
    <row r="95" spans="1:8" ht="20.65" customHeight="1" x14ac:dyDescent="0.25">
      <c r="A95" s="27"/>
      <c r="B95" s="28" t="s">
        <v>208</v>
      </c>
      <c r="C95" s="28" t="s">
        <v>209</v>
      </c>
      <c r="D95" s="28"/>
      <c r="E95" s="29" t="str">
        <f>IF(H95="","",FIXED(H95,1) &amp; " / " &amp; "50")</f>
        <v>32,0 / 50</v>
      </c>
      <c r="F95" s="28" t="str">
        <f>IF(G95=2,"Réussi",IF(G95=1,"Ajourné",""))</f>
        <v>Réussi</v>
      </c>
      <c r="G95" s="25">
        <v>2</v>
      </c>
      <c r="H95" s="25">
        <v>32</v>
      </c>
    </row>
    <row r="96" spans="1:8" ht="20.65" customHeight="1" x14ac:dyDescent="0.25">
      <c r="A96" s="27"/>
      <c r="B96" s="28" t="s">
        <v>210</v>
      </c>
      <c r="C96" s="28" t="s">
        <v>211</v>
      </c>
      <c r="D96" s="28"/>
      <c r="E96" s="29" t="str">
        <f>IF(H96="","",FIXED(H96,1) &amp; " / " &amp; "50")</f>
        <v>26,0 / 50</v>
      </c>
      <c r="F96" s="28" t="str">
        <f>IF(G96=2,"Réussi",IF(G96=1,"Ajourné",""))</f>
        <v>Réussi</v>
      </c>
      <c r="G96" s="25">
        <v>2</v>
      </c>
      <c r="H96" s="25">
        <v>26</v>
      </c>
    </row>
    <row r="97" spans="1:8" ht="20.65" customHeight="1" x14ac:dyDescent="0.25">
      <c r="A97" s="27"/>
      <c r="B97" s="28" t="s">
        <v>212</v>
      </c>
      <c r="C97" s="28" t="s">
        <v>213</v>
      </c>
      <c r="D97" s="28"/>
      <c r="E97" s="29" t="str">
        <f>IF(H97="","",FIXED(H97,1) &amp; " / " &amp; "50")</f>
        <v>34,0 / 50</v>
      </c>
      <c r="F97" s="28" t="str">
        <f>IF(G97=2,"Réussi",IF(G97=1,"Ajourné",""))</f>
        <v>Réussi</v>
      </c>
      <c r="G97" s="25">
        <v>2</v>
      </c>
      <c r="H97" s="25">
        <v>34</v>
      </c>
    </row>
    <row r="98" spans="1:8" ht="20.65" customHeight="1" x14ac:dyDescent="0.25">
      <c r="A98" s="27"/>
      <c r="B98" s="28" t="s">
        <v>214</v>
      </c>
      <c r="C98" s="28" t="s">
        <v>215</v>
      </c>
      <c r="D98" s="28"/>
      <c r="E98" s="29" t="str">
        <f>IF(H98="","",FIXED(H98,1) &amp; " / " &amp; "50")</f>
        <v>32,0 / 50</v>
      </c>
      <c r="F98" s="28" t="str">
        <f>IF(G98=2,"Réussi",IF(G98=1,"Ajourné",""))</f>
        <v>Réussi</v>
      </c>
      <c r="G98" s="25">
        <v>2</v>
      </c>
      <c r="H98" s="25">
        <v>32</v>
      </c>
    </row>
    <row r="99" spans="1:8" ht="20.65" customHeight="1" x14ac:dyDescent="0.25">
      <c r="A99" s="27"/>
      <c r="B99" s="28" t="s">
        <v>216</v>
      </c>
      <c r="C99" s="28" t="s">
        <v>217</v>
      </c>
      <c r="D99" s="28"/>
      <c r="E99" s="29" t="str">
        <f>IF(H99="","",FIXED(H99,1) &amp; " / " &amp; "50")</f>
        <v>36,0 / 50</v>
      </c>
      <c r="F99" s="28" t="str">
        <f>IF(G99=2,"Réussi",IF(G99=1,"Ajourné",""))</f>
        <v>Réussi</v>
      </c>
      <c r="G99" s="25">
        <v>2</v>
      </c>
      <c r="H99" s="25">
        <v>36</v>
      </c>
    </row>
    <row r="100" spans="1:8" ht="20.65" customHeight="1" x14ac:dyDescent="0.25">
      <c r="A100" s="27"/>
      <c r="B100" s="28" t="s">
        <v>218</v>
      </c>
      <c r="C100" s="28" t="s">
        <v>219</v>
      </c>
      <c r="D100" s="28"/>
      <c r="E100" s="29" t="str">
        <f>IF(H100="","",FIXED(H100,1) &amp; " / " &amp; "50")</f>
        <v>34,0 / 50</v>
      </c>
      <c r="F100" s="28" t="str">
        <f>IF(G100=2,"Réussi",IF(G100=1,"Ajourné",""))</f>
        <v>Réussi</v>
      </c>
      <c r="G100" s="25">
        <v>2</v>
      </c>
      <c r="H100" s="25">
        <v>34</v>
      </c>
    </row>
    <row r="101" spans="1:8" ht="20.65" customHeight="1" x14ac:dyDescent="0.25">
      <c r="A101" s="27"/>
      <c r="B101" s="28" t="s">
        <v>220</v>
      </c>
      <c r="C101" s="28" t="s">
        <v>221</v>
      </c>
      <c r="D101" s="28"/>
      <c r="E101" s="29" t="str">
        <f>IF(H101="","",FIXED(H101,1) &amp; " / " &amp; "50")</f>
        <v>24,0 / 50</v>
      </c>
      <c r="F101" s="28" t="str">
        <f>IF(G101=2,"Réussi",IF(G101=1,"Ajourné",""))</f>
        <v>Ajourné</v>
      </c>
      <c r="G101" s="25">
        <v>1</v>
      </c>
      <c r="H101" s="25">
        <v>24</v>
      </c>
    </row>
    <row r="102" spans="1:8" ht="20.65" customHeight="1" x14ac:dyDescent="0.25">
      <c r="A102" s="27"/>
      <c r="B102" s="28" t="s">
        <v>222</v>
      </c>
      <c r="C102" s="28" t="s">
        <v>223</v>
      </c>
      <c r="D102" s="28"/>
      <c r="E102" s="29" t="str">
        <f>IF(H102="","",FIXED(H102,1) &amp; " / " &amp; "50")</f>
        <v>30,0 / 50</v>
      </c>
      <c r="F102" s="28" t="str">
        <f>IF(G102=2,"Réussi",IF(G102=1,"Ajourné",""))</f>
        <v>Réussi</v>
      </c>
      <c r="G102" s="25">
        <v>2</v>
      </c>
      <c r="H102" s="25">
        <v>30</v>
      </c>
    </row>
    <row r="103" spans="1:8" ht="20.65" customHeight="1" x14ac:dyDescent="0.25">
      <c r="A103" s="27"/>
      <c r="B103" s="28" t="s">
        <v>224</v>
      </c>
      <c r="C103" s="28" t="s">
        <v>225</v>
      </c>
      <c r="D103" s="28"/>
      <c r="E103" s="29" t="str">
        <f>IF(H103="","",FIXED(H103,1) &amp; " / " &amp; "50")</f>
        <v>26,0 / 50</v>
      </c>
      <c r="F103" s="28" t="str">
        <f>IF(G103=2,"Réussi",IF(G103=1,"Ajourné",""))</f>
        <v>Réussi</v>
      </c>
      <c r="G103" s="25">
        <v>2</v>
      </c>
      <c r="H103" s="25">
        <v>26</v>
      </c>
    </row>
    <row r="104" spans="1:8" ht="20.65" customHeight="1" x14ac:dyDescent="0.25">
      <c r="A104" s="27"/>
      <c r="B104" s="28" t="s">
        <v>226</v>
      </c>
      <c r="C104" s="28" t="s">
        <v>227</v>
      </c>
      <c r="D104" s="28"/>
      <c r="E104" s="29" t="str">
        <f>IF(H104="","",FIXED(H104,1) &amp; " / " &amp; "50")</f>
        <v>28,0 / 50</v>
      </c>
      <c r="F104" s="28" t="str">
        <f>IF(G104=2,"Réussi",IF(G104=1,"Ajourné",""))</f>
        <v>Réussi</v>
      </c>
      <c r="G104" s="25">
        <v>2</v>
      </c>
      <c r="H104" s="25">
        <v>28</v>
      </c>
    </row>
    <row r="105" spans="1:8" ht="20.65" customHeight="1" x14ac:dyDescent="0.25">
      <c r="A105" s="27"/>
      <c r="B105" s="28" t="s">
        <v>228</v>
      </c>
      <c r="C105" s="28" t="s">
        <v>229</v>
      </c>
      <c r="D105" s="28"/>
      <c r="E105" s="29" t="str">
        <f>IF(H105="","",FIXED(H105,1) &amp; " / " &amp; "50")</f>
        <v>40,0 / 50</v>
      </c>
      <c r="F105" s="28" t="str">
        <f>IF(G105=2,"Réussi",IF(G105=1,"Ajourné",""))</f>
        <v>Réussi</v>
      </c>
      <c r="G105" s="25">
        <v>2</v>
      </c>
      <c r="H105" s="25">
        <v>40</v>
      </c>
    </row>
    <row r="106" spans="1:8" ht="20.65" customHeight="1" x14ac:dyDescent="0.25">
      <c r="A106" s="27"/>
      <c r="B106" s="28" t="s">
        <v>230</v>
      </c>
      <c r="C106" s="28" t="s">
        <v>231</v>
      </c>
      <c r="D106" s="28"/>
      <c r="E106" s="29" t="str">
        <f>IF(H106="","",FIXED(H106,1) &amp; " / " &amp; "50")</f>
        <v>30,0 / 50</v>
      </c>
      <c r="F106" s="28" t="str">
        <f>IF(G106=2,"Réussi",IF(G106=1,"Ajourné",""))</f>
        <v>Réussi</v>
      </c>
      <c r="G106" s="25">
        <v>2</v>
      </c>
      <c r="H106" s="25">
        <v>30</v>
      </c>
    </row>
    <row r="107" spans="1:8" ht="20.65" customHeight="1" x14ac:dyDescent="0.25">
      <c r="A107" s="27"/>
      <c r="B107" s="28" t="s">
        <v>232</v>
      </c>
      <c r="C107" s="28" t="s">
        <v>233</v>
      </c>
      <c r="D107" s="28"/>
      <c r="E107" s="29" t="str">
        <f>IF(H107="","",FIXED(H107,1) &amp; " / " &amp; "50")</f>
        <v>34,0 / 50</v>
      </c>
      <c r="F107" s="28" t="str">
        <f>IF(G107=2,"Réussi",IF(G107=1,"Ajourné",""))</f>
        <v>Réussi</v>
      </c>
      <c r="G107" s="25">
        <v>2</v>
      </c>
      <c r="H107" s="25">
        <v>34</v>
      </c>
    </row>
    <row r="108" spans="1:8" ht="20.65" customHeight="1" x14ac:dyDescent="0.25">
      <c r="A108" s="27"/>
      <c r="B108" s="28" t="s">
        <v>234</v>
      </c>
      <c r="C108" s="28" t="s">
        <v>235</v>
      </c>
      <c r="D108" s="28"/>
      <c r="E108" s="29" t="str">
        <f>IF(H108="","",FIXED(H108,1) &amp; " / " &amp; "50")</f>
        <v>32,0 / 50</v>
      </c>
      <c r="F108" s="28" t="str">
        <f>IF(G108=2,"Réussi",IF(G108=1,"Ajourné",""))</f>
        <v>Réussi</v>
      </c>
      <c r="G108" s="25">
        <v>2</v>
      </c>
      <c r="H108" s="25">
        <v>32</v>
      </c>
    </row>
    <row r="109" spans="1:8" ht="20.65" customHeight="1" x14ac:dyDescent="0.25">
      <c r="A109" s="27"/>
      <c r="B109" s="28" t="s">
        <v>236</v>
      </c>
      <c r="C109" s="28" t="s">
        <v>237</v>
      </c>
      <c r="D109" s="28"/>
      <c r="E109" s="29" t="str">
        <f>IF(H109="","",FIXED(H109,1) &amp; " / " &amp; "50")</f>
        <v>28,0 / 50</v>
      </c>
      <c r="F109" s="28" t="str">
        <f>IF(G109=2,"Réussi",IF(G109=1,"Ajourné",""))</f>
        <v>Réussi</v>
      </c>
      <c r="G109" s="25">
        <v>2</v>
      </c>
      <c r="H109" s="25">
        <v>28</v>
      </c>
    </row>
    <row r="110" spans="1:8" ht="20.65" customHeight="1" x14ac:dyDescent="0.25">
      <c r="A110" s="27"/>
      <c r="B110" s="28" t="s">
        <v>238</v>
      </c>
      <c r="C110" s="28" t="s">
        <v>239</v>
      </c>
      <c r="D110" s="28"/>
      <c r="E110" s="29" t="str">
        <f>IF(H110="","",FIXED(H110,1) &amp; " / " &amp; "50")</f>
        <v>34,0 / 50</v>
      </c>
      <c r="F110" s="28" t="str">
        <f>IF(G110=2,"Réussi",IF(G110=1,"Ajourné",""))</f>
        <v>Réussi</v>
      </c>
      <c r="G110" s="25">
        <v>2</v>
      </c>
      <c r="H110" s="25">
        <v>34</v>
      </c>
    </row>
    <row r="111" spans="1:8" ht="20.65" customHeight="1" x14ac:dyDescent="0.25">
      <c r="A111" s="27"/>
      <c r="B111" s="28" t="s">
        <v>240</v>
      </c>
      <c r="C111" s="28" t="s">
        <v>241</v>
      </c>
      <c r="D111" s="28"/>
      <c r="E111" s="29" t="str">
        <f>IF(H111="","",FIXED(H111,1) &amp; " / " &amp; "50")</f>
        <v>28,0 / 50</v>
      </c>
      <c r="F111" s="28" t="str">
        <f>IF(G111=2,"Réussi",IF(G111=1,"Ajourné",""))</f>
        <v>Réussi</v>
      </c>
      <c r="G111" s="25">
        <v>2</v>
      </c>
      <c r="H111" s="25">
        <v>28</v>
      </c>
    </row>
    <row r="112" spans="1:8" ht="20.65" customHeight="1" x14ac:dyDescent="0.25">
      <c r="A112" s="27"/>
      <c r="B112" s="28" t="s">
        <v>242</v>
      </c>
      <c r="C112" s="28" t="s">
        <v>243</v>
      </c>
      <c r="D112" s="28"/>
      <c r="E112" s="29" t="str">
        <f>IF(H112="","",FIXED(H112,1) &amp; " / " &amp; "50")</f>
        <v>42,0 / 50</v>
      </c>
      <c r="F112" s="28" t="str">
        <f>IF(G112=2,"Réussi",IF(G112=1,"Ajourné",""))</f>
        <v>Réussi</v>
      </c>
      <c r="G112" s="25">
        <v>2</v>
      </c>
      <c r="H112" s="25">
        <v>42</v>
      </c>
    </row>
    <row r="113" spans="1:8" ht="20.65" customHeight="1" x14ac:dyDescent="0.25">
      <c r="A113" s="27"/>
      <c r="B113" s="28" t="s">
        <v>244</v>
      </c>
      <c r="C113" s="28" t="s">
        <v>245</v>
      </c>
      <c r="D113" s="28"/>
      <c r="E113" s="29" t="str">
        <f>IF(H113="","",FIXED(H113,1) &amp; " / " &amp; "50")</f>
        <v>28,0 / 50</v>
      </c>
      <c r="F113" s="28" t="str">
        <f>IF(G113=2,"Réussi",IF(G113=1,"Ajourné",""))</f>
        <v>Réussi</v>
      </c>
      <c r="G113" s="25">
        <v>2</v>
      </c>
      <c r="H113" s="25">
        <v>28</v>
      </c>
    </row>
    <row r="114" spans="1:8" ht="20.65" customHeight="1" x14ac:dyDescent="0.25">
      <c r="A114" s="27"/>
      <c r="B114" s="28" t="s">
        <v>246</v>
      </c>
      <c r="C114" s="28" t="s">
        <v>247</v>
      </c>
      <c r="D114" s="28"/>
      <c r="E114" s="29" t="str">
        <f>IF(H114="","",FIXED(H114,1) &amp; " / " &amp; "50")</f>
        <v>30,0 / 50</v>
      </c>
      <c r="F114" s="28" t="str">
        <f>IF(G114=2,"Réussi",IF(G114=1,"Ajourné",""))</f>
        <v>Réussi</v>
      </c>
      <c r="G114" s="25">
        <v>2</v>
      </c>
      <c r="H114" s="25">
        <v>30</v>
      </c>
    </row>
    <row r="115" spans="1:8" ht="20.65" customHeight="1" x14ac:dyDescent="0.25">
      <c r="A115" s="27"/>
      <c r="B115" s="28" t="s">
        <v>248</v>
      </c>
      <c r="C115" s="28" t="s">
        <v>249</v>
      </c>
      <c r="D115" s="28"/>
      <c r="E115" s="29" t="str">
        <f>IF(H115="","",FIXED(H115,1) &amp; " / " &amp; "50")</f>
        <v>34,0 / 50</v>
      </c>
      <c r="F115" s="28" t="str">
        <f>IF(G115=2,"Réussi",IF(G115=1,"Ajourné",""))</f>
        <v>Réussi</v>
      </c>
      <c r="G115" s="25">
        <v>2</v>
      </c>
      <c r="H115" s="25">
        <v>34</v>
      </c>
    </row>
    <row r="116" spans="1:8" ht="20.65" customHeight="1" x14ac:dyDescent="0.25">
      <c r="A116" s="27"/>
      <c r="B116" s="28" t="s">
        <v>250</v>
      </c>
      <c r="C116" s="28" t="s">
        <v>251</v>
      </c>
      <c r="D116" s="28"/>
      <c r="E116" s="29" t="str">
        <f>IF(H116="","",FIXED(H116,1) &amp; " / " &amp; "50")</f>
        <v>30,0 / 50</v>
      </c>
      <c r="F116" s="28" t="str">
        <f>IF(G116=2,"Réussi",IF(G116=1,"Ajourné",""))</f>
        <v>Réussi</v>
      </c>
      <c r="G116" s="25">
        <v>2</v>
      </c>
      <c r="H116" s="25">
        <v>30</v>
      </c>
    </row>
    <row r="117" spans="1:8" ht="20.65" customHeight="1" x14ac:dyDescent="0.25">
      <c r="A117" s="27"/>
      <c r="B117" s="28" t="s">
        <v>252</v>
      </c>
      <c r="C117" s="28" t="s">
        <v>253</v>
      </c>
      <c r="D117" s="28"/>
      <c r="E117" s="29" t="str">
        <f>IF(H117="","",FIXED(H117,1) &amp; " / " &amp; "50")</f>
        <v>32,0 / 50</v>
      </c>
      <c r="F117" s="28" t="str">
        <f>IF(G117=2,"Réussi",IF(G117=1,"Ajourné",""))</f>
        <v>Réussi</v>
      </c>
      <c r="G117" s="25">
        <v>2</v>
      </c>
      <c r="H117" s="25">
        <v>32</v>
      </c>
    </row>
    <row r="118" spans="1:8" ht="20.65" customHeight="1" x14ac:dyDescent="0.25">
      <c r="A118" s="27"/>
      <c r="B118" s="28" t="s">
        <v>254</v>
      </c>
      <c r="C118" s="28" t="s">
        <v>255</v>
      </c>
      <c r="D118" s="28"/>
      <c r="E118" s="29" t="str">
        <f>IF(H118="","",FIXED(H118,1) &amp; " / " &amp; "50")</f>
        <v>30,0 / 50</v>
      </c>
      <c r="F118" s="28" t="str">
        <f>IF(G118=2,"Réussi",IF(G118=1,"Ajourné",""))</f>
        <v>Réussi</v>
      </c>
      <c r="G118" s="25">
        <v>2</v>
      </c>
      <c r="H118" s="25">
        <v>30</v>
      </c>
    </row>
    <row r="119" spans="1:8" ht="20.65" customHeight="1" x14ac:dyDescent="0.25">
      <c r="A119" s="27"/>
      <c r="B119" s="28" t="s">
        <v>256</v>
      </c>
      <c r="C119" s="28" t="s">
        <v>257</v>
      </c>
      <c r="D119" s="28"/>
      <c r="E119" s="29" t="str">
        <f>IF(H119="","",FIXED(H119,1) &amp; " / " &amp; "50")</f>
        <v>32,0 / 50</v>
      </c>
      <c r="F119" s="28" t="str">
        <f>IF(G119=2,"Réussi",IF(G119=1,"Ajourné",""))</f>
        <v>Réussi</v>
      </c>
      <c r="G119" s="25">
        <v>2</v>
      </c>
      <c r="H119" s="25">
        <v>32</v>
      </c>
    </row>
    <row r="120" spans="1:8" ht="20.65" customHeight="1" x14ac:dyDescent="0.25">
      <c r="A120" s="27"/>
      <c r="B120" s="28" t="s">
        <v>258</v>
      </c>
      <c r="C120" s="28" t="s">
        <v>259</v>
      </c>
      <c r="D120" s="28"/>
      <c r="E120" s="29" t="str">
        <f>IF(H120="","",FIXED(H120,1) &amp; " / " &amp; "50")</f>
        <v>36,0 / 50</v>
      </c>
      <c r="F120" s="28" t="str">
        <f>IF(G120=2,"Réussi",IF(G120=1,"Ajourné",""))</f>
        <v>Réussi</v>
      </c>
      <c r="G120" s="25">
        <v>2</v>
      </c>
      <c r="H120" s="25">
        <v>36</v>
      </c>
    </row>
    <row r="121" spans="1:8" ht="20.65" customHeight="1" x14ac:dyDescent="0.25">
      <c r="A121" s="27"/>
      <c r="B121" s="28" t="s">
        <v>260</v>
      </c>
      <c r="C121" s="28" t="s">
        <v>261</v>
      </c>
      <c r="D121" s="28"/>
      <c r="E121" s="29" t="str">
        <f>IF(H121="","",FIXED(H121,1) &amp; " / " &amp; "50")</f>
        <v>32,0 / 50</v>
      </c>
      <c r="F121" s="28" t="str">
        <f>IF(G121=2,"Réussi",IF(G121=1,"Ajourné",""))</f>
        <v>Réussi</v>
      </c>
      <c r="G121" s="25">
        <v>2</v>
      </c>
      <c r="H121" s="25">
        <v>32</v>
      </c>
    </row>
    <row r="122" spans="1:8" ht="20.65" customHeight="1" x14ac:dyDescent="0.25">
      <c r="A122" s="27"/>
      <c r="B122" s="28" t="s">
        <v>262</v>
      </c>
      <c r="C122" s="28" t="s">
        <v>263</v>
      </c>
      <c r="D122" s="28"/>
      <c r="E122" s="29" t="str">
        <f>IF(H122="","",FIXED(H122,1) &amp; " / " &amp; "50")</f>
        <v>28,0 / 50</v>
      </c>
      <c r="F122" s="28" t="str">
        <f>IF(G122=2,"Réussi",IF(G122=1,"Ajourné",""))</f>
        <v>Réussi</v>
      </c>
      <c r="G122" s="25">
        <v>2</v>
      </c>
      <c r="H122" s="25">
        <v>28</v>
      </c>
    </row>
    <row r="123" spans="1:8" ht="20.65" customHeight="1" x14ac:dyDescent="0.25">
      <c r="A123" s="27"/>
      <c r="B123" s="28" t="s">
        <v>264</v>
      </c>
      <c r="C123" s="28" t="s">
        <v>265</v>
      </c>
      <c r="D123" s="28"/>
      <c r="E123" s="29" t="str">
        <f>IF(H123="","",FIXED(H123,1) &amp; " / " &amp; "50")</f>
        <v>32,0 / 50</v>
      </c>
      <c r="F123" s="28" t="str">
        <f>IF(G123=2,"Réussi",IF(G123=1,"Ajourné",""))</f>
        <v>Réussi</v>
      </c>
      <c r="G123" s="25">
        <v>2</v>
      </c>
      <c r="H123" s="25">
        <v>32</v>
      </c>
    </row>
    <row r="124" spans="1:8" ht="20.65" customHeight="1" x14ac:dyDescent="0.25">
      <c r="A124" s="27"/>
      <c r="B124" s="28" t="s">
        <v>266</v>
      </c>
      <c r="C124" s="28" t="s">
        <v>267</v>
      </c>
      <c r="D124" s="28"/>
      <c r="E124" s="29" t="str">
        <f>IF(H124="","",FIXED(H124,1) &amp; " / " &amp; "50")</f>
        <v>32,0 / 50</v>
      </c>
      <c r="F124" s="28" t="str">
        <f>IF(G124=2,"Réussi",IF(G124=1,"Ajourné",""))</f>
        <v>Réussi</v>
      </c>
      <c r="G124" s="25">
        <v>2</v>
      </c>
      <c r="H124" s="25">
        <v>32</v>
      </c>
    </row>
    <row r="125" spans="1:8" ht="20.65" customHeight="1" x14ac:dyDescent="0.25">
      <c r="A125" s="27"/>
      <c r="B125" s="28" t="s">
        <v>268</v>
      </c>
      <c r="C125" s="28" t="s">
        <v>269</v>
      </c>
      <c r="D125" s="28"/>
      <c r="E125" s="29" t="str">
        <f>IF(H125="","",FIXED(H125,1) &amp; " / " &amp; "50")</f>
        <v>24,0 / 50</v>
      </c>
      <c r="F125" s="28" t="str">
        <f>IF(G125=2,"Réussi",IF(G125=1,"Ajourné",""))</f>
        <v>Ajourné</v>
      </c>
      <c r="G125" s="25">
        <v>1</v>
      </c>
      <c r="H125" s="25">
        <v>24</v>
      </c>
    </row>
    <row r="126" spans="1:8" ht="20.65" customHeight="1" x14ac:dyDescent="0.25">
      <c r="A126" s="27"/>
      <c r="B126" s="28" t="s">
        <v>270</v>
      </c>
      <c r="C126" s="28" t="s">
        <v>271</v>
      </c>
      <c r="D126" s="28"/>
      <c r="E126" s="29" t="str">
        <f>IF(H126="","",FIXED(H126,1) &amp; " / " &amp; "50")</f>
        <v>6,0 / 50</v>
      </c>
      <c r="F126" s="28" t="str">
        <f>IF(G126=2,"Réussi",IF(G126=1,"Ajourné",""))</f>
        <v>Ajourné</v>
      </c>
      <c r="G126" s="25">
        <v>1</v>
      </c>
      <c r="H126" s="25">
        <v>6</v>
      </c>
    </row>
    <row r="127" spans="1:8" ht="20.65" customHeight="1" x14ac:dyDescent="0.25">
      <c r="A127" s="27"/>
      <c r="B127" s="28" t="s">
        <v>272</v>
      </c>
      <c r="C127" s="28" t="s">
        <v>273</v>
      </c>
      <c r="D127" s="28"/>
      <c r="E127" s="29" t="str">
        <f>IF(H127="","",FIXED(H127,1) &amp; " / " &amp; "50")</f>
        <v>32,0 / 50</v>
      </c>
      <c r="F127" s="28" t="str">
        <f>IF(G127=2,"Réussi",IF(G127=1,"Ajourné",""))</f>
        <v>Réussi</v>
      </c>
      <c r="G127" s="25">
        <v>2</v>
      </c>
      <c r="H127" s="25">
        <v>32</v>
      </c>
    </row>
    <row r="128" spans="1:8" ht="20.65" customHeight="1" x14ac:dyDescent="0.25">
      <c r="A128" s="27"/>
      <c r="B128" s="28" t="s">
        <v>274</v>
      </c>
      <c r="C128" s="28" t="s">
        <v>275</v>
      </c>
      <c r="D128" s="28"/>
      <c r="E128" s="29" t="str">
        <f>IF(H128="","",FIXED(H128,1) &amp; " / " &amp; "50")</f>
        <v>30,0 / 50</v>
      </c>
      <c r="F128" s="28" t="str">
        <f>IF(G128=2,"Réussi",IF(G128=1,"Ajourné",""))</f>
        <v>Réussi</v>
      </c>
      <c r="G128" s="25">
        <v>2</v>
      </c>
      <c r="H128" s="25">
        <v>30</v>
      </c>
    </row>
    <row r="129" spans="1:8" ht="20.65" customHeight="1" x14ac:dyDescent="0.25">
      <c r="A129" s="27"/>
      <c r="B129" s="28" t="s">
        <v>276</v>
      </c>
      <c r="C129" s="28" t="s">
        <v>277</v>
      </c>
      <c r="D129" s="28"/>
      <c r="E129" s="29" t="str">
        <f>IF(H129="","",FIXED(H129,1) &amp; " / " &amp; "50")</f>
        <v>20,0 / 50</v>
      </c>
      <c r="F129" s="28" t="str">
        <f>IF(G129=2,"Réussi",IF(G129=1,"Ajourné",""))</f>
        <v>Ajourné</v>
      </c>
      <c r="G129" s="25">
        <v>1</v>
      </c>
      <c r="H129" s="25">
        <v>20</v>
      </c>
    </row>
    <row r="130" spans="1:8" ht="20.65" customHeight="1" x14ac:dyDescent="0.25">
      <c r="A130" s="27"/>
      <c r="B130" s="28" t="s">
        <v>278</v>
      </c>
      <c r="C130" s="28" t="s">
        <v>279</v>
      </c>
      <c r="D130" s="28"/>
      <c r="E130" s="29" t="str">
        <f>IF(H130="","",FIXED(H130,1) &amp; " / " &amp; "50")</f>
        <v>24,0 / 50</v>
      </c>
      <c r="F130" s="28" t="str">
        <f>IF(G130=2,"Réussi",IF(G130=1,"Ajourné",""))</f>
        <v>Ajourné</v>
      </c>
      <c r="G130" s="25">
        <v>1</v>
      </c>
      <c r="H130" s="25">
        <v>24</v>
      </c>
    </row>
    <row r="131" spans="1:8" ht="20.65" customHeight="1" x14ac:dyDescent="0.25">
      <c r="A131" s="27"/>
      <c r="B131" s="28" t="s">
        <v>280</v>
      </c>
      <c r="C131" s="28" t="s">
        <v>281</v>
      </c>
      <c r="D131" s="28"/>
      <c r="E131" s="29" t="str">
        <f>IF(H131="","",FIXED(H131,1) &amp; " / " &amp; "50")</f>
        <v>26,0 / 50</v>
      </c>
      <c r="F131" s="28" t="str">
        <f>IF(G131=2,"Réussi",IF(G131=1,"Ajourné",""))</f>
        <v>Réussi</v>
      </c>
      <c r="G131" s="25">
        <v>2</v>
      </c>
      <c r="H131" s="25">
        <v>26</v>
      </c>
    </row>
    <row r="132" spans="1:8" ht="20.65" customHeight="1" x14ac:dyDescent="0.25">
      <c r="A132" s="27"/>
      <c r="B132" s="28" t="s">
        <v>282</v>
      </c>
      <c r="C132" s="28" t="s">
        <v>283</v>
      </c>
      <c r="D132" s="28"/>
      <c r="E132" s="29" t="str">
        <f>IF(H132="","",FIXED(H132,1) &amp; " / " &amp; "50")</f>
        <v>28,0 / 50</v>
      </c>
      <c r="F132" s="28" t="str">
        <f>IF(G132=2,"Réussi",IF(G132=1,"Ajourné",""))</f>
        <v>Réussi</v>
      </c>
      <c r="G132" s="25">
        <v>2</v>
      </c>
      <c r="H132" s="25">
        <v>28</v>
      </c>
    </row>
    <row r="133" spans="1:8" ht="20.65" customHeight="1" x14ac:dyDescent="0.25">
      <c r="A133" s="27"/>
      <c r="B133" s="28" t="s">
        <v>284</v>
      </c>
      <c r="C133" s="28" t="s">
        <v>285</v>
      </c>
      <c r="D133" s="28"/>
      <c r="E133" s="29" t="str">
        <f>IF(H133="","",FIXED(H133,1) &amp; " / " &amp; "50")</f>
        <v>26,0 / 50</v>
      </c>
      <c r="F133" s="28" t="str">
        <f>IF(G133=2,"Réussi",IF(G133=1,"Ajourné",""))</f>
        <v>Réussi</v>
      </c>
      <c r="G133" s="25">
        <v>2</v>
      </c>
      <c r="H133" s="25">
        <v>26</v>
      </c>
    </row>
    <row r="134" spans="1:8" ht="20.65" customHeight="1" x14ac:dyDescent="0.25">
      <c r="A134" s="27"/>
      <c r="B134" s="28" t="s">
        <v>286</v>
      </c>
      <c r="C134" s="28" t="s">
        <v>287</v>
      </c>
      <c r="D134" s="28"/>
      <c r="E134" s="29" t="str">
        <f>IF(H134="","",FIXED(H134,1) &amp; " / " &amp; "50")</f>
        <v>32,0 / 50</v>
      </c>
      <c r="F134" s="28" t="str">
        <f>IF(G134=2,"Réussi",IF(G134=1,"Ajourné",""))</f>
        <v>Réussi</v>
      </c>
      <c r="G134" s="25">
        <v>2</v>
      </c>
      <c r="H134" s="25">
        <v>32</v>
      </c>
    </row>
    <row r="135" spans="1:8" ht="20.65" customHeight="1" x14ac:dyDescent="0.25">
      <c r="A135" s="27"/>
      <c r="B135" s="28" t="s">
        <v>288</v>
      </c>
      <c r="C135" s="28" t="s">
        <v>289</v>
      </c>
      <c r="D135" s="28"/>
      <c r="E135" s="29" t="str">
        <f>IF(H135="","",FIXED(H135,1) &amp; " / " &amp; "50")</f>
        <v>34,0 / 50</v>
      </c>
      <c r="F135" s="28" t="str">
        <f>IF(G135=2,"Réussi",IF(G135=1,"Ajourné",""))</f>
        <v>Réussi</v>
      </c>
      <c r="G135" s="25">
        <v>2</v>
      </c>
      <c r="H135" s="25">
        <v>34</v>
      </c>
    </row>
    <row r="136" spans="1:8" ht="20.65" customHeight="1" x14ac:dyDescent="0.25">
      <c r="A136" s="27"/>
      <c r="B136" s="28" t="s">
        <v>290</v>
      </c>
      <c r="C136" s="28" t="s">
        <v>291</v>
      </c>
      <c r="D136" s="28"/>
      <c r="E136" s="29" t="str">
        <f>IF(H136="","",FIXED(H136,1) &amp; " / " &amp; "50")</f>
        <v>26,0 / 50</v>
      </c>
      <c r="F136" s="28" t="str">
        <f>IF(G136=2,"Réussi",IF(G136=1,"Ajourné",""))</f>
        <v>Réussi</v>
      </c>
      <c r="G136" s="25">
        <v>2</v>
      </c>
      <c r="H136" s="25">
        <v>26</v>
      </c>
    </row>
    <row r="137" spans="1:8" ht="20.65" customHeight="1" x14ac:dyDescent="0.25">
      <c r="A137" s="27"/>
      <c r="B137" s="28" t="s">
        <v>292</v>
      </c>
      <c r="C137" s="28" t="s">
        <v>293</v>
      </c>
      <c r="D137" s="28"/>
      <c r="E137" s="29" t="str">
        <f>IF(H137="","",FIXED(H137,1) &amp; " / " &amp; "50")</f>
        <v>30,0 / 50</v>
      </c>
      <c r="F137" s="28" t="str">
        <f>IF(G137=2,"Réussi",IF(G137=1,"Ajourné",""))</f>
        <v>Réussi</v>
      </c>
      <c r="G137" s="25">
        <v>2</v>
      </c>
      <c r="H137" s="25">
        <v>30</v>
      </c>
    </row>
    <row r="138" spans="1:8" ht="20.65" customHeight="1" x14ac:dyDescent="0.25">
      <c r="A138" s="27"/>
      <c r="B138" s="28" t="s">
        <v>294</v>
      </c>
      <c r="C138" s="28" t="s">
        <v>295</v>
      </c>
      <c r="D138" s="28"/>
      <c r="E138" s="29" t="str">
        <f>IF(H138="","",FIXED(H138,1) &amp; " / " &amp; "50")</f>
        <v>24,0 / 50</v>
      </c>
      <c r="F138" s="28" t="str">
        <f>IF(G138=2,"Réussi",IF(G138=1,"Ajourné",""))</f>
        <v>Ajourné</v>
      </c>
      <c r="G138" s="25">
        <v>1</v>
      </c>
      <c r="H138" s="25">
        <v>24</v>
      </c>
    </row>
    <row r="139" spans="1:8" ht="20.65" customHeight="1" x14ac:dyDescent="0.25">
      <c r="A139" s="27"/>
      <c r="B139" s="28" t="s">
        <v>296</v>
      </c>
      <c r="C139" s="28" t="s">
        <v>297</v>
      </c>
      <c r="D139" s="28"/>
      <c r="E139" s="29" t="str">
        <f>IF(H139="","",FIXED(H139,1) &amp; " / " &amp; "50")</f>
        <v>24,0 / 50</v>
      </c>
      <c r="F139" s="28" t="str">
        <f>IF(G139=2,"Réussi",IF(G139=1,"Ajourné",""))</f>
        <v>Ajourné</v>
      </c>
      <c r="G139" s="25">
        <v>1</v>
      </c>
      <c r="H139" s="25">
        <v>24</v>
      </c>
    </row>
    <row r="140" spans="1:8" ht="20.65" customHeight="1" x14ac:dyDescent="0.25">
      <c r="A140" s="27"/>
      <c r="B140" s="28" t="s">
        <v>298</v>
      </c>
      <c r="C140" s="28" t="s">
        <v>299</v>
      </c>
      <c r="D140" s="28"/>
      <c r="E140" s="29" t="str">
        <f>IF(H140="","",FIXED(H140,1) &amp; " / " &amp; "50")</f>
        <v>30,0 / 50</v>
      </c>
      <c r="F140" s="28" t="str">
        <f>IF(G140=2,"Réussi",IF(G140=1,"Ajourné",""))</f>
        <v>Réussi</v>
      </c>
      <c r="G140" s="25">
        <v>2</v>
      </c>
      <c r="H140" s="25">
        <v>30</v>
      </c>
    </row>
    <row r="141" spans="1:8" ht="20.65" customHeight="1" x14ac:dyDescent="0.25">
      <c r="A141" s="27"/>
      <c r="B141" s="28" t="s">
        <v>300</v>
      </c>
      <c r="C141" s="28" t="s">
        <v>301</v>
      </c>
      <c r="D141" s="28"/>
      <c r="E141" s="29" t="str">
        <f>IF(H141="","",FIXED(H141,1) &amp; " / " &amp; "50")</f>
        <v>26,0 / 50</v>
      </c>
      <c r="F141" s="28" t="str">
        <f>IF(G141=2,"Réussi",IF(G141=1,"Ajourné",""))</f>
        <v>Réussi</v>
      </c>
      <c r="G141" s="25">
        <v>2</v>
      </c>
      <c r="H141" s="25">
        <v>26</v>
      </c>
    </row>
    <row r="142" spans="1:8" ht="20.65" customHeight="1" x14ac:dyDescent="0.25">
      <c r="A142" s="27"/>
      <c r="B142" s="28" t="s">
        <v>302</v>
      </c>
      <c r="C142" s="28" t="s">
        <v>303</v>
      </c>
      <c r="D142" s="28"/>
      <c r="E142" s="29" t="str">
        <f>IF(H142="","",FIXED(H142,1) &amp; " / " &amp; "50")</f>
        <v>34,0 / 50</v>
      </c>
      <c r="F142" s="28" t="str">
        <f>IF(G142=2,"Réussi",IF(G142=1,"Ajourné",""))</f>
        <v>Réussi</v>
      </c>
      <c r="G142" s="25">
        <v>2</v>
      </c>
      <c r="H142" s="25">
        <v>34</v>
      </c>
    </row>
    <row r="143" spans="1:8" ht="20.65" customHeight="1" x14ac:dyDescent="0.25">
      <c r="A143" s="27"/>
      <c r="B143" s="28" t="s">
        <v>304</v>
      </c>
      <c r="C143" s="28" t="s">
        <v>305</v>
      </c>
      <c r="D143" s="28"/>
      <c r="E143" s="29" t="str">
        <f>IF(H143="","",FIXED(H143,1) &amp; " / " &amp; "50")</f>
        <v>30,0 / 50</v>
      </c>
      <c r="F143" s="28" t="str">
        <f>IF(G143=2,"Réussi",IF(G143=1,"Ajourné",""))</f>
        <v>Réussi</v>
      </c>
      <c r="G143" s="25">
        <v>2</v>
      </c>
      <c r="H143" s="25">
        <v>30</v>
      </c>
    </row>
    <row r="144" spans="1:8" ht="20.65" customHeight="1" x14ac:dyDescent="0.25">
      <c r="A144" s="27"/>
      <c r="B144" s="28" t="s">
        <v>306</v>
      </c>
      <c r="C144" s="28" t="s">
        <v>307</v>
      </c>
      <c r="D144" s="28"/>
      <c r="E144" s="29" t="str">
        <f>IF(H144="","",FIXED(H144,1) &amp; " / " &amp; "50")</f>
        <v>30,0 / 50</v>
      </c>
      <c r="F144" s="28" t="str">
        <f>IF(G144=2,"Réussi",IF(G144=1,"Ajourné",""))</f>
        <v>Réussi</v>
      </c>
      <c r="G144" s="25">
        <v>2</v>
      </c>
      <c r="H144" s="25">
        <v>30</v>
      </c>
    </row>
    <row r="145" spans="1:8" ht="20.65" customHeight="1" x14ac:dyDescent="0.25">
      <c r="A145" s="27"/>
      <c r="B145" s="28" t="s">
        <v>308</v>
      </c>
      <c r="C145" s="28" t="s">
        <v>309</v>
      </c>
      <c r="D145" s="28"/>
      <c r="E145" s="29" t="str">
        <f>IF(H145="","",FIXED(H145,1) &amp; " / " &amp; "50")</f>
        <v>26,0 / 50</v>
      </c>
      <c r="F145" s="28" t="str">
        <f>IF(G145=2,"Réussi",IF(G145=1,"Ajourné",""))</f>
        <v>Réussi</v>
      </c>
      <c r="G145" s="25">
        <v>2</v>
      </c>
      <c r="H145" s="25">
        <v>26</v>
      </c>
    </row>
    <row r="146" spans="1:8" ht="20.65" customHeight="1" x14ac:dyDescent="0.25">
      <c r="A146" s="27"/>
      <c r="B146" s="28" t="s">
        <v>310</v>
      </c>
      <c r="C146" s="28" t="s">
        <v>311</v>
      </c>
      <c r="D146" s="28"/>
      <c r="E146" s="29" t="str">
        <f>IF(H146="","",FIXED(H146,1) &amp; " / " &amp; "50")</f>
        <v>30,0 / 50</v>
      </c>
      <c r="F146" s="28" t="str">
        <f>IF(G146=2,"Réussi",IF(G146=1,"Ajourné",""))</f>
        <v>Réussi</v>
      </c>
      <c r="G146" s="25">
        <v>2</v>
      </c>
      <c r="H146" s="25">
        <v>30</v>
      </c>
    </row>
    <row r="147" spans="1:8" ht="20.65" customHeight="1" x14ac:dyDescent="0.25">
      <c r="A147" s="27"/>
      <c r="B147" s="28" t="s">
        <v>312</v>
      </c>
      <c r="C147" s="28" t="s">
        <v>313</v>
      </c>
      <c r="D147" s="28"/>
      <c r="E147" s="29" t="str">
        <f>IF(H147="","",FIXED(H147,1) &amp; " / " &amp; "50")</f>
        <v>34,0 / 50</v>
      </c>
      <c r="F147" s="28" t="str">
        <f>IF(G147=2,"Réussi",IF(G147=1,"Ajourné",""))</f>
        <v>Réussi</v>
      </c>
      <c r="G147" s="25">
        <v>2</v>
      </c>
      <c r="H147" s="25">
        <v>34</v>
      </c>
    </row>
    <row r="148" spans="1:8" ht="20.65" customHeight="1" x14ac:dyDescent="0.25">
      <c r="A148" s="27"/>
      <c r="B148" s="28" t="s">
        <v>314</v>
      </c>
      <c r="C148" s="28" t="s">
        <v>315</v>
      </c>
      <c r="D148" s="28"/>
      <c r="E148" s="29" t="str">
        <f>IF(H148="","",FIXED(H148,1) &amp; " / " &amp; "50")</f>
        <v>28,0 / 50</v>
      </c>
      <c r="F148" s="28" t="str">
        <f>IF(G148=2,"Réussi",IF(G148=1,"Ajourné",""))</f>
        <v>Réussi</v>
      </c>
      <c r="G148" s="25">
        <v>2</v>
      </c>
      <c r="H148" s="25">
        <v>28</v>
      </c>
    </row>
    <row r="149" spans="1:8" ht="20.65" customHeight="1" x14ac:dyDescent="0.25">
      <c r="A149" s="27"/>
      <c r="B149" s="28" t="s">
        <v>316</v>
      </c>
      <c r="C149" s="28" t="s">
        <v>317</v>
      </c>
      <c r="D149" s="28"/>
      <c r="E149" s="29" t="str">
        <f>IF(H149="","",FIXED(H149,1) &amp; " / " &amp; "50")</f>
        <v>32,0 / 50</v>
      </c>
      <c r="F149" s="28" t="str">
        <f>IF(G149=2,"Réussi",IF(G149=1,"Ajourné",""))</f>
        <v>Réussi</v>
      </c>
      <c r="G149" s="25">
        <v>2</v>
      </c>
      <c r="H149" s="25">
        <v>32</v>
      </c>
    </row>
    <row r="150" spans="1:8" ht="20.65" customHeight="1" x14ac:dyDescent="0.25">
      <c r="A150" s="27"/>
      <c r="B150" s="28" t="s">
        <v>318</v>
      </c>
      <c r="C150" s="28" t="s">
        <v>319</v>
      </c>
      <c r="D150" s="28"/>
      <c r="E150" s="29" t="str">
        <f>IF(H150="","",FIXED(H150,1) &amp; " / " &amp; "50")</f>
        <v>30,0 / 50</v>
      </c>
      <c r="F150" s="28" t="str">
        <f>IF(G150=2,"Réussi",IF(G150=1,"Ajourné",""))</f>
        <v>Réussi</v>
      </c>
      <c r="G150" s="25">
        <v>2</v>
      </c>
      <c r="H150" s="25">
        <v>30</v>
      </c>
    </row>
    <row r="151" spans="1:8" ht="20.65" customHeight="1" x14ac:dyDescent="0.25">
      <c r="A151" s="27"/>
      <c r="B151" s="28" t="s">
        <v>320</v>
      </c>
      <c r="C151" s="28" t="s">
        <v>321</v>
      </c>
      <c r="D151" s="28"/>
      <c r="E151" s="29" t="str">
        <f>IF(H151="","",FIXED(H151,1) &amp; " / " &amp; "50")</f>
        <v>32,0 / 50</v>
      </c>
      <c r="F151" s="28" t="str">
        <f>IF(G151=2,"Réussi",IF(G151=1,"Ajourné",""))</f>
        <v>Réussi</v>
      </c>
      <c r="G151" s="25">
        <v>2</v>
      </c>
      <c r="H151" s="25">
        <v>32</v>
      </c>
    </row>
    <row r="152" spans="1:8" ht="20.65" customHeight="1" x14ac:dyDescent="0.25">
      <c r="A152" s="27"/>
      <c r="B152" s="28" t="s">
        <v>322</v>
      </c>
      <c r="C152" s="28" t="s">
        <v>323</v>
      </c>
      <c r="D152" s="28"/>
      <c r="E152" s="29" t="str">
        <f>IF(H152="","",FIXED(H152,1) &amp; " / " &amp; "50")</f>
        <v>34,0 / 50</v>
      </c>
      <c r="F152" s="28" t="str">
        <f>IF(G152=2,"Réussi",IF(G152=1,"Ajourné",""))</f>
        <v>Réussi</v>
      </c>
      <c r="G152" s="25">
        <v>2</v>
      </c>
      <c r="H152" s="25">
        <v>34</v>
      </c>
    </row>
    <row r="153" spans="1:8" ht="20.65" customHeight="1" x14ac:dyDescent="0.25">
      <c r="A153" s="27"/>
      <c r="B153" s="28" t="s">
        <v>324</v>
      </c>
      <c r="C153" s="28" t="s">
        <v>325</v>
      </c>
      <c r="D153" s="28"/>
      <c r="E153" s="29" t="str">
        <f>IF(H153="","",FIXED(H153,1) &amp; " / " &amp; "50")</f>
        <v>36,0 / 50</v>
      </c>
      <c r="F153" s="28" t="str">
        <f>IF(G153=2,"Réussi",IF(G153=1,"Ajourné",""))</f>
        <v>Réussi</v>
      </c>
      <c r="G153" s="25">
        <v>2</v>
      </c>
      <c r="H153" s="25">
        <v>36</v>
      </c>
    </row>
    <row r="154" spans="1:8" ht="20.65" customHeight="1" x14ac:dyDescent="0.25">
      <c r="A154" s="27"/>
      <c r="B154" s="28" t="s">
        <v>326</v>
      </c>
      <c r="C154" s="28" t="s">
        <v>327</v>
      </c>
      <c r="D154" s="28"/>
      <c r="E154" s="29" t="str">
        <f>IF(H154="","",FIXED(H154,1) &amp; " / " &amp; "50")</f>
        <v>22,0 / 50</v>
      </c>
      <c r="F154" s="28" t="str">
        <f>IF(G154=2,"Réussi",IF(G154=1,"Ajourné",""))</f>
        <v>Ajourné</v>
      </c>
      <c r="G154" s="25">
        <v>1</v>
      </c>
      <c r="H154" s="25">
        <v>22</v>
      </c>
    </row>
    <row r="155" spans="1:8" ht="20.65" customHeight="1" x14ac:dyDescent="0.25">
      <c r="A155" s="27"/>
      <c r="B155" s="28" t="s">
        <v>328</v>
      </c>
      <c r="C155" s="28" t="s">
        <v>329</v>
      </c>
      <c r="D155" s="28"/>
      <c r="E155" s="29" t="str">
        <f>IF(H155="","",FIXED(H155,1) &amp; " / " &amp; "50")</f>
        <v>28,0 / 50</v>
      </c>
      <c r="F155" s="28" t="str">
        <f>IF(G155=2,"Réussi",IF(G155=1,"Ajourné",""))</f>
        <v>Réussi</v>
      </c>
      <c r="G155" s="25">
        <v>2</v>
      </c>
      <c r="H155" s="25">
        <v>28</v>
      </c>
    </row>
    <row r="156" spans="1:8" ht="20.65" customHeight="1" x14ac:dyDescent="0.25">
      <c r="A156" s="27"/>
      <c r="B156" s="28" t="s">
        <v>330</v>
      </c>
      <c r="C156" s="28" t="s">
        <v>331</v>
      </c>
      <c r="D156" s="28"/>
      <c r="E156" s="29" t="str">
        <f>IF(H156="","",FIXED(H156,1) &amp; " / " &amp; "50")</f>
        <v>24,0 / 50</v>
      </c>
      <c r="F156" s="28" t="str">
        <f>IF(G156=2,"Réussi",IF(G156=1,"Ajourné",""))</f>
        <v>Ajourné</v>
      </c>
      <c r="G156" s="25">
        <v>1</v>
      </c>
      <c r="H156" s="25">
        <v>24</v>
      </c>
    </row>
    <row r="157" spans="1:8" ht="20.65" customHeight="1" x14ac:dyDescent="0.25">
      <c r="A157" s="27"/>
      <c r="B157" s="28" t="s">
        <v>332</v>
      </c>
      <c r="C157" s="28" t="s">
        <v>333</v>
      </c>
      <c r="D157" s="28"/>
      <c r="E157" s="29" t="str">
        <f>IF(H157="","",FIXED(H157,1) &amp; " / " &amp; "50")</f>
        <v>32,0 / 50</v>
      </c>
      <c r="F157" s="28" t="str">
        <f>IF(G157=2,"Réussi",IF(G157=1,"Ajourné",""))</f>
        <v>Réussi</v>
      </c>
      <c r="G157" s="25">
        <v>2</v>
      </c>
      <c r="H157" s="25">
        <v>32</v>
      </c>
    </row>
    <row r="158" spans="1:8" ht="20.65" customHeight="1" x14ac:dyDescent="0.25">
      <c r="A158" s="27"/>
      <c r="B158" s="28" t="s">
        <v>334</v>
      </c>
      <c r="C158" s="28" t="s">
        <v>335</v>
      </c>
      <c r="D158" s="28"/>
      <c r="E158" s="29" t="str">
        <f>IF(H158="","",FIXED(H158,1) &amp; " / " &amp; "50")</f>
        <v>32,0 / 50</v>
      </c>
      <c r="F158" s="28" t="str">
        <f>IF(G158=2,"Réussi",IF(G158=1,"Ajourné",""))</f>
        <v>Réussi</v>
      </c>
      <c r="G158" s="25">
        <v>2</v>
      </c>
      <c r="H158" s="25">
        <v>32</v>
      </c>
    </row>
    <row r="159" spans="1:8" ht="20.65" customHeight="1" x14ac:dyDescent="0.25">
      <c r="A159" s="27"/>
      <c r="B159" s="28" t="s">
        <v>336</v>
      </c>
      <c r="C159" s="28" t="s">
        <v>337</v>
      </c>
      <c r="D159" s="28"/>
      <c r="E159" s="29" t="str">
        <f>IF(H159="","",FIXED(H159,1) &amp; " / " &amp; "50")</f>
        <v>24,0 / 50</v>
      </c>
      <c r="F159" s="28" t="str">
        <f>IF(G159=2,"Réussi",IF(G159=1,"Ajourné",""))</f>
        <v>Ajourné</v>
      </c>
      <c r="G159" s="25">
        <v>1</v>
      </c>
      <c r="H159" s="25">
        <v>24</v>
      </c>
    </row>
    <row r="160" spans="1:8" ht="20.65" customHeight="1" x14ac:dyDescent="0.25">
      <c r="A160" s="27"/>
      <c r="B160" s="28" t="s">
        <v>338</v>
      </c>
      <c r="C160" s="28" t="s">
        <v>339</v>
      </c>
      <c r="D160" s="28"/>
      <c r="E160" s="29" t="str">
        <f>IF(H160="","",FIXED(H160,1) &amp; " / " &amp; "50")</f>
        <v>30,0 / 50</v>
      </c>
      <c r="F160" s="28" t="str">
        <f>IF(G160=2,"Réussi",IF(G160=1,"Ajourné",""))</f>
        <v>Réussi</v>
      </c>
      <c r="G160" s="25">
        <v>2</v>
      </c>
      <c r="H160" s="25">
        <v>30</v>
      </c>
    </row>
    <row r="161" spans="1:8" ht="20.65" customHeight="1" x14ac:dyDescent="0.25">
      <c r="A161" s="27"/>
      <c r="B161" s="28" t="s">
        <v>340</v>
      </c>
      <c r="C161" s="28" t="s">
        <v>341</v>
      </c>
      <c r="D161" s="28"/>
      <c r="E161" s="29" t="str">
        <f>IF(H161="","",FIXED(H161,1) &amp; " / " &amp; "50")</f>
        <v>26,0 / 50</v>
      </c>
      <c r="F161" s="28" t="str">
        <f>IF(G161=2,"Réussi",IF(G161=1,"Ajourné",""))</f>
        <v>Réussi</v>
      </c>
      <c r="G161" s="25">
        <v>2</v>
      </c>
      <c r="H161" s="25">
        <v>26</v>
      </c>
    </row>
    <row r="162" spans="1:8" ht="20.65" customHeight="1" x14ac:dyDescent="0.25">
      <c r="A162" s="27"/>
      <c r="B162" s="28" t="s">
        <v>342</v>
      </c>
      <c r="C162" s="28" t="s">
        <v>343</v>
      </c>
      <c r="D162" s="28"/>
      <c r="E162" s="29" t="str">
        <f>IF(H162="","",FIXED(H162,1) &amp; " / " &amp; "50")</f>
        <v>30,0 / 50</v>
      </c>
      <c r="F162" s="28" t="str">
        <f>IF(G162=2,"Réussi",IF(G162=1,"Ajourné",""))</f>
        <v>Réussi</v>
      </c>
      <c r="G162" s="25">
        <v>2</v>
      </c>
      <c r="H162" s="25">
        <v>30</v>
      </c>
    </row>
    <row r="163" spans="1:8" ht="20.65" customHeight="1" x14ac:dyDescent="0.25">
      <c r="A163" s="27"/>
      <c r="B163" s="28" t="s">
        <v>344</v>
      </c>
      <c r="C163" s="28" t="s">
        <v>345</v>
      </c>
      <c r="D163" s="28"/>
      <c r="E163" s="29" t="str">
        <f>IF(H163="","",FIXED(H163,1) &amp; " / " &amp; "50")</f>
        <v>26,0 / 50</v>
      </c>
      <c r="F163" s="28" t="str">
        <f>IF(G163=2,"Réussi",IF(G163=1,"Ajourné",""))</f>
        <v>Réussi</v>
      </c>
      <c r="G163" s="25">
        <v>2</v>
      </c>
      <c r="H163" s="25">
        <v>26</v>
      </c>
    </row>
    <row r="164" spans="1:8" ht="20.65" customHeight="1" x14ac:dyDescent="0.25">
      <c r="A164" s="27"/>
      <c r="B164" s="28" t="s">
        <v>346</v>
      </c>
      <c r="C164" s="28" t="s">
        <v>347</v>
      </c>
      <c r="D164" s="28"/>
      <c r="E164" s="29" t="str">
        <f>IF(H164="","",FIXED(H164,1) &amp; " / " &amp; "50")</f>
        <v>36,0 / 50</v>
      </c>
      <c r="F164" s="28" t="str">
        <f>IF(G164=2,"Réussi",IF(G164=1,"Ajourné",""))</f>
        <v>Réussi</v>
      </c>
      <c r="G164" s="25">
        <v>2</v>
      </c>
      <c r="H164" s="25">
        <v>36</v>
      </c>
    </row>
    <row r="165" spans="1:8" ht="20.65" customHeight="1" x14ac:dyDescent="0.25">
      <c r="A165" s="27"/>
      <c r="B165" s="28" t="s">
        <v>348</v>
      </c>
      <c r="C165" s="28" t="s">
        <v>349</v>
      </c>
      <c r="D165" s="28"/>
      <c r="E165" s="29" t="str">
        <f>IF(H165="","",FIXED(H165,1) &amp; " / " &amp; "50")</f>
        <v>30,0 / 50</v>
      </c>
      <c r="F165" s="28" t="str">
        <f>IF(G165=2,"Réussi",IF(G165=1,"Ajourné",""))</f>
        <v>Réussi</v>
      </c>
      <c r="G165" s="25">
        <v>2</v>
      </c>
      <c r="H165" s="25">
        <v>30</v>
      </c>
    </row>
    <row r="166" spans="1:8" ht="20.65" customHeight="1" x14ac:dyDescent="0.25">
      <c r="A166" s="27"/>
      <c r="B166" s="28" t="s">
        <v>350</v>
      </c>
      <c r="C166" s="28" t="s">
        <v>351</v>
      </c>
      <c r="D166" s="28"/>
      <c r="E166" s="29" t="str">
        <f>IF(H166="","",FIXED(H166,1) &amp; " / " &amp; "50")</f>
        <v>18,0 / 50</v>
      </c>
      <c r="F166" s="28" t="str">
        <f>IF(G166=2,"Réussi",IF(G166=1,"Ajourné",""))</f>
        <v>Ajourné</v>
      </c>
      <c r="G166" s="25">
        <v>1</v>
      </c>
      <c r="H166" s="25">
        <v>18</v>
      </c>
    </row>
    <row r="167" spans="1:8" ht="20.65" customHeight="1" x14ac:dyDescent="0.25">
      <c r="A167" s="27"/>
      <c r="B167" s="28" t="s">
        <v>352</v>
      </c>
      <c r="C167" s="28" t="s">
        <v>353</v>
      </c>
      <c r="D167" s="28"/>
      <c r="E167" s="29" t="str">
        <f>IF(H167="","",FIXED(H167,1) &amp; " / " &amp; "50")</f>
        <v>36,0 / 50</v>
      </c>
      <c r="F167" s="28" t="str">
        <f>IF(G167=2,"Réussi",IF(G167=1,"Ajourné",""))</f>
        <v>Réussi</v>
      </c>
      <c r="G167" s="25">
        <v>2</v>
      </c>
      <c r="H167" s="25">
        <v>36</v>
      </c>
    </row>
    <row r="168" spans="1:8" ht="20.65" customHeight="1" x14ac:dyDescent="0.25">
      <c r="A168" s="27"/>
      <c r="B168" s="28" t="s">
        <v>354</v>
      </c>
      <c r="C168" s="28" t="s">
        <v>355</v>
      </c>
      <c r="D168" s="28"/>
      <c r="E168" s="29" t="str">
        <f>IF(H168="","",FIXED(H168,1) &amp; " / " &amp; "50")</f>
        <v>24,0 / 50</v>
      </c>
      <c r="F168" s="28" t="str">
        <f>IF(G168=2,"Réussi",IF(G168=1,"Ajourné",""))</f>
        <v>Ajourné</v>
      </c>
      <c r="G168" s="25">
        <v>1</v>
      </c>
      <c r="H168" s="25">
        <v>24</v>
      </c>
    </row>
    <row r="169" spans="1:8" ht="20.65" customHeight="1" x14ac:dyDescent="0.25">
      <c r="A169" s="27"/>
      <c r="B169" s="28" t="s">
        <v>356</v>
      </c>
      <c r="C169" s="28" t="s">
        <v>357</v>
      </c>
      <c r="D169" s="28"/>
      <c r="E169" s="29" t="str">
        <f>IF(H169="","",FIXED(H169,1) &amp; " / " &amp; "50")</f>
        <v>30,0 / 50</v>
      </c>
      <c r="F169" s="28" t="str">
        <f>IF(G169=2,"Réussi",IF(G169=1,"Ajourné",""))</f>
        <v>Réussi</v>
      </c>
      <c r="G169" s="25">
        <v>2</v>
      </c>
      <c r="H169" s="25">
        <v>30</v>
      </c>
    </row>
    <row r="170" spans="1:8" ht="20.65" customHeight="1" x14ac:dyDescent="0.25">
      <c r="A170" s="27"/>
      <c r="B170" s="28" t="s">
        <v>358</v>
      </c>
      <c r="C170" s="28" t="s">
        <v>359</v>
      </c>
      <c r="D170" s="28"/>
      <c r="E170" s="29" t="str">
        <f>IF(H170="","",FIXED(H170,1) &amp; " / " &amp; "50")</f>
        <v>28,0 / 50</v>
      </c>
      <c r="F170" s="28" t="str">
        <f>IF(G170=2,"Réussi",IF(G170=1,"Ajourné",""))</f>
        <v>Réussi</v>
      </c>
      <c r="G170" s="25">
        <v>2</v>
      </c>
      <c r="H170" s="25">
        <v>28</v>
      </c>
    </row>
    <row r="171" spans="1:8" ht="20.65" customHeight="1" x14ac:dyDescent="0.25">
      <c r="A171" s="27"/>
      <c r="B171" s="28" t="s">
        <v>360</v>
      </c>
      <c r="C171" s="28" t="s">
        <v>361</v>
      </c>
      <c r="D171" s="28"/>
      <c r="E171" s="29" t="str">
        <f>IF(H171="","",FIXED(H171,1) &amp; " / " &amp; "50")</f>
        <v>20,0 / 50</v>
      </c>
      <c r="F171" s="28" t="str">
        <f>IF(G171=2,"Réussi",IF(G171=1,"Ajourné",""))</f>
        <v>Ajourné</v>
      </c>
      <c r="G171" s="25">
        <v>1</v>
      </c>
      <c r="H171" s="25">
        <v>20</v>
      </c>
    </row>
    <row r="172" spans="1:8" ht="20.65" customHeight="1" x14ac:dyDescent="0.25">
      <c r="A172" s="27"/>
      <c r="B172" s="28" t="s">
        <v>362</v>
      </c>
      <c r="C172" s="28" t="s">
        <v>363</v>
      </c>
      <c r="D172" s="28"/>
      <c r="E172" s="29" t="str">
        <f>IF(H172="","",FIXED(H172,1) &amp; " / " &amp; "50")</f>
        <v>26,0 / 50</v>
      </c>
      <c r="F172" s="28" t="str">
        <f>IF(G172=2,"Réussi",IF(G172=1,"Ajourné",""))</f>
        <v>Réussi</v>
      </c>
      <c r="G172" s="25">
        <v>2</v>
      </c>
      <c r="H172" s="25">
        <v>26</v>
      </c>
    </row>
    <row r="173" spans="1:8" ht="20.65" customHeight="1" x14ac:dyDescent="0.25">
      <c r="A173" s="27"/>
      <c r="B173" s="28" t="s">
        <v>364</v>
      </c>
      <c r="C173" s="28" t="s">
        <v>365</v>
      </c>
      <c r="D173" s="28"/>
      <c r="E173" s="29" t="str">
        <f>IF(H173="","",FIXED(H173,1) &amp; " / " &amp; "50")</f>
        <v>32,0 / 50</v>
      </c>
      <c r="F173" s="28" t="str">
        <f>IF(G173=2,"Réussi",IF(G173=1,"Ajourné",""))</f>
        <v>Réussi</v>
      </c>
      <c r="G173" s="25">
        <v>2</v>
      </c>
      <c r="H173" s="25">
        <v>32</v>
      </c>
    </row>
    <row r="174" spans="1:8" ht="20.65" customHeight="1" x14ac:dyDescent="0.25">
      <c r="A174" s="27"/>
      <c r="B174" s="28" t="s">
        <v>366</v>
      </c>
      <c r="C174" s="28" t="s">
        <v>367</v>
      </c>
      <c r="D174" s="28"/>
      <c r="E174" s="29" t="str">
        <f>IF(H174="","",FIXED(H174,1) &amp; " / " &amp; "50")</f>
        <v>28,0 / 50</v>
      </c>
      <c r="F174" s="28" t="str">
        <f>IF(G174=2,"Réussi",IF(G174=1,"Ajourné",""))</f>
        <v>Réussi</v>
      </c>
      <c r="G174" s="25">
        <v>2</v>
      </c>
      <c r="H174" s="25">
        <v>28</v>
      </c>
    </row>
    <row r="175" spans="1:8" ht="20.65" customHeight="1" x14ac:dyDescent="0.25">
      <c r="A175" s="27"/>
      <c r="B175" s="28" t="s">
        <v>368</v>
      </c>
      <c r="C175" s="28" t="s">
        <v>369</v>
      </c>
      <c r="D175" s="28"/>
      <c r="E175" s="29" t="str">
        <f>IF(H175="","",FIXED(H175,1) &amp; " / " &amp; "50")</f>
        <v>18,0 / 50</v>
      </c>
      <c r="F175" s="28" t="str">
        <f>IF(G175=2,"Réussi",IF(G175=1,"Ajourné",""))</f>
        <v>Ajourné</v>
      </c>
      <c r="G175" s="25">
        <v>1</v>
      </c>
      <c r="H175" s="25">
        <v>18</v>
      </c>
    </row>
    <row r="176" spans="1:8" ht="20.65" customHeight="1" x14ac:dyDescent="0.25">
      <c r="A176" s="27"/>
      <c r="B176" s="28" t="s">
        <v>370</v>
      </c>
      <c r="C176" s="28" t="s">
        <v>371</v>
      </c>
      <c r="D176" s="28"/>
      <c r="E176" s="29" t="str">
        <f>IF(H176="","",FIXED(H176,1) &amp; " / " &amp; "50")</f>
        <v>32,0 / 50</v>
      </c>
      <c r="F176" s="28" t="str">
        <f>IF(G176=2,"Réussi",IF(G176=1,"Ajourné",""))</f>
        <v>Réussi</v>
      </c>
      <c r="G176" s="25">
        <v>2</v>
      </c>
      <c r="H176" s="25">
        <v>32</v>
      </c>
    </row>
    <row r="177" spans="1:8" ht="20.65" customHeight="1" x14ac:dyDescent="0.25">
      <c r="A177" s="27"/>
      <c r="B177" s="28" t="s">
        <v>372</v>
      </c>
      <c r="C177" s="28" t="s">
        <v>373</v>
      </c>
      <c r="D177" s="28"/>
      <c r="E177" s="29" t="str">
        <f>IF(H177="","",FIXED(H177,1) &amp; " / " &amp; "50")</f>
        <v>24,0 / 50</v>
      </c>
      <c r="F177" s="28" t="str">
        <f>IF(G177=2,"Réussi",IF(G177=1,"Ajourné",""))</f>
        <v>Ajourné</v>
      </c>
      <c r="G177" s="25">
        <v>1</v>
      </c>
      <c r="H177" s="25">
        <v>24</v>
      </c>
    </row>
    <row r="178" spans="1:8" ht="20.65" customHeight="1" x14ac:dyDescent="0.25">
      <c r="A178" s="27"/>
      <c r="B178" s="28" t="s">
        <v>374</v>
      </c>
      <c r="C178" s="28" t="s">
        <v>375</v>
      </c>
      <c r="D178" s="28"/>
      <c r="E178" s="29" t="str">
        <f>IF(H178="","",FIXED(H178,1) &amp; " / " &amp; "50")</f>
        <v>30,0 / 50</v>
      </c>
      <c r="F178" s="28" t="str">
        <f>IF(G178=2,"Réussi",IF(G178=1,"Ajourné",""))</f>
        <v>Réussi</v>
      </c>
      <c r="G178" s="25">
        <v>2</v>
      </c>
      <c r="H178" s="25">
        <v>30</v>
      </c>
    </row>
    <row r="179" spans="1:8" ht="20.65" customHeight="1" x14ac:dyDescent="0.25">
      <c r="A179" s="27"/>
      <c r="B179" s="28" t="s">
        <v>376</v>
      </c>
      <c r="C179" s="28" t="s">
        <v>377</v>
      </c>
      <c r="D179" s="28"/>
      <c r="E179" s="29" t="str">
        <f>IF(H179="","",FIXED(H179,1) &amp; " / " &amp; "50")</f>
        <v>30,0 / 50</v>
      </c>
      <c r="F179" s="28" t="str">
        <f>IF(G179=2,"Réussi",IF(G179=1,"Ajourné",""))</f>
        <v>Réussi</v>
      </c>
      <c r="G179" s="25">
        <v>2</v>
      </c>
      <c r="H179" s="25">
        <v>30</v>
      </c>
    </row>
    <row r="180" spans="1:8" ht="20.65" customHeight="1" x14ac:dyDescent="0.25">
      <c r="A180" s="27"/>
      <c r="B180" s="28" t="s">
        <v>378</v>
      </c>
      <c r="C180" s="28" t="s">
        <v>379</v>
      </c>
      <c r="D180" s="28"/>
      <c r="E180" s="29" t="str">
        <f>IF(H180="","",FIXED(H180,1) &amp; " / " &amp; "50")</f>
        <v>30,0 / 50</v>
      </c>
      <c r="F180" s="28" t="str">
        <f>IF(G180=2,"Réussi",IF(G180=1,"Ajourné",""))</f>
        <v>Réussi</v>
      </c>
      <c r="G180" s="25">
        <v>2</v>
      </c>
      <c r="H180" s="25">
        <v>30</v>
      </c>
    </row>
    <row r="181" spans="1:8" ht="20.65" customHeight="1" x14ac:dyDescent="0.25">
      <c r="A181" s="27"/>
      <c r="B181" s="28" t="s">
        <v>380</v>
      </c>
      <c r="C181" s="28" t="s">
        <v>381</v>
      </c>
      <c r="D181" s="28"/>
      <c r="E181" s="29" t="str">
        <f>IF(H181="","",FIXED(H181,1) &amp; " / " &amp; "50")</f>
        <v>34,0 / 50</v>
      </c>
      <c r="F181" s="28" t="str">
        <f>IF(G181=2,"Réussi",IF(G181=1,"Ajourné",""))</f>
        <v>Réussi</v>
      </c>
      <c r="G181" s="25">
        <v>2</v>
      </c>
      <c r="H181" s="25">
        <v>34</v>
      </c>
    </row>
    <row r="182" spans="1:8" ht="20.65" customHeight="1" x14ac:dyDescent="0.25">
      <c r="A182" s="27"/>
      <c r="B182" s="28" t="s">
        <v>382</v>
      </c>
      <c r="C182" s="28" t="s">
        <v>383</v>
      </c>
      <c r="D182" s="28"/>
      <c r="E182" s="29" t="str">
        <f>IF(H182="","",FIXED(H182,1) &amp; " / " &amp; "50")</f>
        <v>32,0 / 50</v>
      </c>
      <c r="F182" s="28" t="str">
        <f>IF(G182=2,"Réussi",IF(G182=1,"Ajourné",""))</f>
        <v>Réussi</v>
      </c>
      <c r="G182" s="25">
        <v>2</v>
      </c>
      <c r="H182" s="25">
        <v>32</v>
      </c>
    </row>
    <row r="183" spans="1:8" ht="20.65" customHeight="1" x14ac:dyDescent="0.25">
      <c r="A183" s="27"/>
      <c r="B183" s="28" t="s">
        <v>384</v>
      </c>
      <c r="C183" s="28" t="s">
        <v>385</v>
      </c>
      <c r="D183" s="28"/>
      <c r="E183" s="29" t="str">
        <f>IF(H183="","",FIXED(H183,1) &amp; " / " &amp; "50")</f>
        <v>30,0 / 50</v>
      </c>
      <c r="F183" s="28" t="str">
        <f>IF(G183=2,"Réussi",IF(G183=1,"Ajourné",""))</f>
        <v>Réussi</v>
      </c>
      <c r="G183" s="25">
        <v>2</v>
      </c>
      <c r="H183" s="25">
        <v>30</v>
      </c>
    </row>
    <row r="184" spans="1:8" ht="20.65" customHeight="1" x14ac:dyDescent="0.25">
      <c r="A184" s="27"/>
      <c r="B184" s="28" t="s">
        <v>386</v>
      </c>
      <c r="C184" s="28" t="s">
        <v>387</v>
      </c>
      <c r="D184" s="28"/>
      <c r="E184" s="29" t="str">
        <f>IF(H184="","",FIXED(H184,1) &amp; " / " &amp; "50")</f>
        <v>30,0 / 50</v>
      </c>
      <c r="F184" s="28" t="str">
        <f>IF(G184=2,"Réussi",IF(G184=1,"Ajourné",""))</f>
        <v>Réussi</v>
      </c>
      <c r="G184" s="25">
        <v>2</v>
      </c>
      <c r="H184" s="25">
        <v>30</v>
      </c>
    </row>
    <row r="185" spans="1:8" ht="20.65" customHeight="1" x14ac:dyDescent="0.25">
      <c r="A185" s="27"/>
      <c r="B185" s="28" t="s">
        <v>388</v>
      </c>
      <c r="C185" s="28" t="s">
        <v>389</v>
      </c>
      <c r="D185" s="28"/>
      <c r="E185" s="29" t="str">
        <f>IF(H185="","",FIXED(H185,1) &amp; " / " &amp; "50")</f>
        <v>26,0 / 50</v>
      </c>
      <c r="F185" s="28" t="str">
        <f>IF(G185=2,"Réussi",IF(G185=1,"Ajourné",""))</f>
        <v>Réussi</v>
      </c>
      <c r="G185" s="25">
        <v>2</v>
      </c>
      <c r="H185" s="25">
        <v>26</v>
      </c>
    </row>
    <row r="186" spans="1:8" ht="20.65" customHeight="1" x14ac:dyDescent="0.25">
      <c r="A186" s="27"/>
      <c r="B186" s="28" t="s">
        <v>390</v>
      </c>
      <c r="C186" s="28" t="s">
        <v>391</v>
      </c>
      <c r="D186" s="28"/>
      <c r="E186" s="29" t="str">
        <f>IF(H186="","",FIXED(H186,1) &amp; " / " &amp; "50")</f>
        <v>38,0 / 50</v>
      </c>
      <c r="F186" s="28" t="str">
        <f>IF(G186=2,"Réussi",IF(G186=1,"Ajourné",""))</f>
        <v>Réussi</v>
      </c>
      <c r="G186" s="25">
        <v>2</v>
      </c>
      <c r="H186" s="25">
        <v>38</v>
      </c>
    </row>
    <row r="187" spans="1:8" ht="20.65" customHeight="1" x14ac:dyDescent="0.25">
      <c r="A187" s="27"/>
      <c r="B187" s="28" t="s">
        <v>392</v>
      </c>
      <c r="C187" s="28" t="s">
        <v>393</v>
      </c>
      <c r="D187" s="28"/>
      <c r="E187" s="29" t="str">
        <f>IF(H187="","",FIXED(H187,1) &amp; " / " &amp; "50")</f>
        <v>30,0 / 50</v>
      </c>
      <c r="F187" s="28" t="str">
        <f>IF(G187=2,"Réussi",IF(G187=1,"Ajourné",""))</f>
        <v>Réussi</v>
      </c>
      <c r="G187" s="25">
        <v>2</v>
      </c>
      <c r="H187" s="25">
        <v>30</v>
      </c>
    </row>
    <row r="188" spans="1:8" ht="20.65" customHeight="1" x14ac:dyDescent="0.25">
      <c r="A188" s="27"/>
      <c r="B188" s="28" t="s">
        <v>394</v>
      </c>
      <c r="C188" s="28" t="s">
        <v>395</v>
      </c>
      <c r="D188" s="28"/>
      <c r="E188" s="29" t="str">
        <f>IF(H188="","",FIXED(H188,1) &amp; " / " &amp; "50")</f>
        <v>30,0 / 50</v>
      </c>
      <c r="F188" s="28" t="str">
        <f>IF(G188=2,"Réussi",IF(G188=1,"Ajourné",""))</f>
        <v>Réussi</v>
      </c>
      <c r="G188" s="25">
        <v>2</v>
      </c>
      <c r="H188" s="25">
        <v>30</v>
      </c>
    </row>
    <row r="189" spans="1:8" ht="20.65" customHeight="1" x14ac:dyDescent="0.25">
      <c r="A189" s="27"/>
      <c r="B189" s="28" t="s">
        <v>396</v>
      </c>
      <c r="C189" s="28" t="s">
        <v>397</v>
      </c>
      <c r="D189" s="28"/>
      <c r="E189" s="29" t="str">
        <f>IF(H189="","",FIXED(H189,1) &amp; " / " &amp; "50")</f>
        <v>26,0 / 50</v>
      </c>
      <c r="F189" s="28" t="str">
        <f>IF(G189=2,"Réussi",IF(G189=1,"Ajourné",""))</f>
        <v>Réussi</v>
      </c>
      <c r="G189" s="25">
        <v>2</v>
      </c>
      <c r="H189" s="25">
        <v>26</v>
      </c>
    </row>
    <row r="190" spans="1:8" ht="20.65" customHeight="1" x14ac:dyDescent="0.25">
      <c r="A190" s="27"/>
      <c r="B190" s="28" t="s">
        <v>398</v>
      </c>
      <c r="C190" s="28" t="s">
        <v>399</v>
      </c>
      <c r="D190" s="28"/>
      <c r="E190" s="29" t="str">
        <f>IF(H190="","",FIXED(H190,1) &amp; " / " &amp; "50")</f>
        <v>0,0 / 50</v>
      </c>
      <c r="F190" s="28" t="str">
        <f>IF(G190=2,"Réussi",IF(G190=1,"Ajourné",""))</f>
        <v>Ajourné</v>
      </c>
      <c r="G190" s="25">
        <v>1</v>
      </c>
      <c r="H190" s="25">
        <v>0</v>
      </c>
    </row>
    <row r="191" spans="1:8" ht="20.65" customHeight="1" x14ac:dyDescent="0.25">
      <c r="A191" s="27"/>
      <c r="B191" s="28" t="s">
        <v>400</v>
      </c>
      <c r="C191" s="28" t="s">
        <v>401</v>
      </c>
      <c r="D191" s="28"/>
      <c r="E191" s="29" t="str">
        <f>IF(H191="","",FIXED(H191,1) &amp; " / " &amp; "50")</f>
        <v>30,0 / 50</v>
      </c>
      <c r="F191" s="28" t="str">
        <f>IF(G191=2,"Réussi",IF(G191=1,"Ajourné",""))</f>
        <v>Réussi</v>
      </c>
      <c r="G191" s="25">
        <v>2</v>
      </c>
      <c r="H191" s="25">
        <v>30</v>
      </c>
    </row>
    <row r="192" spans="1:8" ht="20.65" customHeight="1" x14ac:dyDescent="0.25">
      <c r="A192" s="27"/>
      <c r="B192" s="28" t="s">
        <v>402</v>
      </c>
      <c r="C192" s="28" t="s">
        <v>403</v>
      </c>
      <c r="D192" s="28"/>
      <c r="E192" s="29" t="str">
        <f>IF(H192="","",FIXED(H192,1) &amp; " / " &amp; "50")</f>
        <v>24,0 / 50</v>
      </c>
      <c r="F192" s="28" t="str">
        <f>IF(G192=2,"Réussi",IF(G192=1,"Ajourné",""))</f>
        <v>Ajourné</v>
      </c>
      <c r="G192" s="25">
        <v>1</v>
      </c>
      <c r="H192" s="25">
        <v>24</v>
      </c>
    </row>
    <row r="193" spans="1:8" ht="20.65" customHeight="1" x14ac:dyDescent="0.25">
      <c r="A193" s="27"/>
      <c r="B193" s="28" t="s">
        <v>404</v>
      </c>
      <c r="C193" s="28" t="s">
        <v>405</v>
      </c>
      <c r="D193" s="28"/>
      <c r="E193" s="29" t="str">
        <f>IF(H193="","",FIXED(H193,1) &amp; " / " &amp; "50")</f>
        <v>28,0 / 50</v>
      </c>
      <c r="F193" s="28" t="str">
        <f>IF(G193=2,"Réussi",IF(G193=1,"Ajourné",""))</f>
        <v>Réussi</v>
      </c>
      <c r="G193" s="25">
        <v>2</v>
      </c>
      <c r="H193" s="25">
        <v>28</v>
      </c>
    </row>
    <row r="194" spans="1:8" ht="20.65" customHeight="1" x14ac:dyDescent="0.25">
      <c r="A194" s="27"/>
      <c r="B194" s="28" t="s">
        <v>406</v>
      </c>
      <c r="C194" s="28" t="s">
        <v>407</v>
      </c>
      <c r="D194" s="28"/>
      <c r="E194" s="29" t="str">
        <f>IF(H194="","",FIXED(H194,1) &amp; " / " &amp; "50")</f>
        <v>32,0 / 50</v>
      </c>
      <c r="F194" s="28" t="str">
        <f>IF(G194=2,"Réussi",IF(G194=1,"Ajourné",""))</f>
        <v>Réussi</v>
      </c>
      <c r="G194" s="25">
        <v>2</v>
      </c>
      <c r="H194" s="25">
        <v>32</v>
      </c>
    </row>
    <row r="195" spans="1:8" ht="20.65" customHeight="1" x14ac:dyDescent="0.25">
      <c r="A195" s="27"/>
      <c r="B195" s="28" t="s">
        <v>408</v>
      </c>
      <c r="C195" s="28" t="s">
        <v>409</v>
      </c>
      <c r="D195" s="28"/>
      <c r="E195" s="29" t="str">
        <f>IF(H195="","",FIXED(H195,1) &amp; " / " &amp; "50")</f>
        <v>32,0 / 50</v>
      </c>
      <c r="F195" s="28" t="str">
        <f>IF(G195=2,"Réussi",IF(G195=1,"Ajourné",""))</f>
        <v>Réussi</v>
      </c>
      <c r="G195" s="25">
        <v>2</v>
      </c>
      <c r="H195" s="25">
        <v>32</v>
      </c>
    </row>
    <row r="196" spans="1:8" ht="20.65" customHeight="1" x14ac:dyDescent="0.25">
      <c r="A196" s="27"/>
      <c r="B196" s="28" t="s">
        <v>410</v>
      </c>
      <c r="C196" s="28" t="s">
        <v>411</v>
      </c>
      <c r="D196" s="28"/>
      <c r="E196" s="29" t="str">
        <f>IF(H196="","",FIXED(H196,1) &amp; " / " &amp; "50")</f>
        <v>28,0 / 50</v>
      </c>
      <c r="F196" s="28" t="str">
        <f>IF(G196=2,"Réussi",IF(G196=1,"Ajourné",""))</f>
        <v>Réussi</v>
      </c>
      <c r="G196" s="25">
        <v>2</v>
      </c>
      <c r="H196" s="25">
        <v>28</v>
      </c>
    </row>
    <row r="197" spans="1:8" ht="20.65" customHeight="1" x14ac:dyDescent="0.25">
      <c r="A197" s="27"/>
      <c r="B197" s="28" t="s">
        <v>412</v>
      </c>
      <c r="C197" s="28" t="s">
        <v>413</v>
      </c>
      <c r="D197" s="28"/>
      <c r="E197" s="29" t="str">
        <f>IF(H197="","",FIXED(H197,1) &amp; " / " &amp; "50")</f>
        <v>34,0 / 50</v>
      </c>
      <c r="F197" s="28" t="str">
        <f>IF(G197=2,"Réussi",IF(G197=1,"Ajourné",""))</f>
        <v>Réussi</v>
      </c>
      <c r="G197" s="25">
        <v>2</v>
      </c>
      <c r="H197" s="25">
        <v>34</v>
      </c>
    </row>
    <row r="198" spans="1:8" ht="20.65" customHeight="1" x14ac:dyDescent="0.25">
      <c r="A198" s="27"/>
      <c r="B198" s="28" t="s">
        <v>414</v>
      </c>
      <c r="C198" s="28" t="s">
        <v>415</v>
      </c>
      <c r="D198" s="28"/>
      <c r="E198" s="29" t="str">
        <f>IF(H198="","",FIXED(H198,1) &amp; " / " &amp; "50")</f>
        <v>28,0 / 50</v>
      </c>
      <c r="F198" s="28" t="str">
        <f>IF(G198=2,"Réussi",IF(G198=1,"Ajourné",""))</f>
        <v>Réussi</v>
      </c>
      <c r="G198" s="25">
        <v>2</v>
      </c>
      <c r="H198" s="25">
        <v>28</v>
      </c>
    </row>
    <row r="199" spans="1:8" ht="20.65" customHeight="1" x14ac:dyDescent="0.25">
      <c r="A199" s="27"/>
      <c r="B199" s="28" t="s">
        <v>416</v>
      </c>
      <c r="C199" s="28" t="s">
        <v>417</v>
      </c>
      <c r="D199" s="28"/>
      <c r="E199" s="29" t="str">
        <f>IF(H199="","",FIXED(H199,1) &amp; " / " &amp; "50")</f>
        <v>34,0 / 50</v>
      </c>
      <c r="F199" s="28" t="str">
        <f>IF(G199=2,"Réussi",IF(G199=1,"Ajourné",""))</f>
        <v>Réussi</v>
      </c>
      <c r="G199" s="25">
        <v>2</v>
      </c>
      <c r="H199" s="25">
        <v>34</v>
      </c>
    </row>
    <row r="200" spans="1:8" ht="20.65" customHeight="1" x14ac:dyDescent="0.25">
      <c r="A200" s="27"/>
      <c r="B200" s="28" t="s">
        <v>418</v>
      </c>
      <c r="C200" s="28" t="s">
        <v>419</v>
      </c>
      <c r="D200" s="28"/>
      <c r="E200" s="29" t="str">
        <f>IF(H200="","",FIXED(H200,1) &amp; " / " &amp; "50")</f>
        <v>38,0 / 50</v>
      </c>
      <c r="F200" s="28" t="str">
        <f>IF(G200=2,"Réussi",IF(G200=1,"Ajourné",""))</f>
        <v>Réussi</v>
      </c>
      <c r="G200" s="25">
        <v>2</v>
      </c>
      <c r="H200" s="25">
        <v>38</v>
      </c>
    </row>
    <row r="201" spans="1:8" ht="20.65" customHeight="1" x14ac:dyDescent="0.25">
      <c r="A201" s="27"/>
      <c r="B201" s="28" t="s">
        <v>420</v>
      </c>
      <c r="C201" s="28" t="s">
        <v>421</v>
      </c>
      <c r="D201" s="28"/>
      <c r="E201" s="29" t="str">
        <f>IF(H201="","",FIXED(H201,1) &amp; " / " &amp; "50")</f>
        <v>34,0 / 50</v>
      </c>
      <c r="F201" s="28" t="str">
        <f>IF(G201=2,"Réussi",IF(G201=1,"Ajourné",""))</f>
        <v>Réussi</v>
      </c>
      <c r="G201" s="25">
        <v>2</v>
      </c>
      <c r="H201" s="25">
        <v>34</v>
      </c>
    </row>
    <row r="202" spans="1:8" ht="20.65" customHeight="1" x14ac:dyDescent="0.25">
      <c r="A202" s="27"/>
      <c r="B202" s="28" t="s">
        <v>422</v>
      </c>
      <c r="C202" s="28" t="s">
        <v>423</v>
      </c>
      <c r="D202" s="28"/>
      <c r="E202" s="29" t="str">
        <f>IF(H202="","",FIXED(H202,1) &amp; " / " &amp; "50")</f>
        <v>26,0 / 50</v>
      </c>
      <c r="F202" s="28" t="str">
        <f>IF(G202=2,"Réussi",IF(G202=1,"Ajourné",""))</f>
        <v>Réussi</v>
      </c>
      <c r="G202" s="25">
        <v>2</v>
      </c>
      <c r="H202" s="25">
        <v>26</v>
      </c>
    </row>
    <row r="203" spans="1:8" ht="20.65" customHeight="1" x14ac:dyDescent="0.25">
      <c r="A203" s="27"/>
      <c r="B203" s="28" t="s">
        <v>424</v>
      </c>
      <c r="C203" s="28" t="s">
        <v>425</v>
      </c>
      <c r="D203" s="28"/>
      <c r="E203" s="29" t="str">
        <f>IF(H203="","",FIXED(H203,1) &amp; " / " &amp; "50")</f>
        <v>30,0 / 50</v>
      </c>
      <c r="F203" s="28" t="str">
        <f>IF(G203=2,"Réussi",IF(G203=1,"Ajourné",""))</f>
        <v>Réussi</v>
      </c>
      <c r="G203" s="25">
        <v>2</v>
      </c>
      <c r="H203" s="25">
        <v>30</v>
      </c>
    </row>
    <row r="204" spans="1:8" ht="20.65" customHeight="1" x14ac:dyDescent="0.25">
      <c r="A204" s="27"/>
      <c r="B204" s="28" t="s">
        <v>426</v>
      </c>
      <c r="C204" s="28" t="s">
        <v>427</v>
      </c>
      <c r="D204" s="28"/>
      <c r="E204" s="29" t="str">
        <f>IF(H204="","",FIXED(H204,1) &amp; " / " &amp; "50")</f>
        <v>32,0 / 50</v>
      </c>
      <c r="F204" s="28" t="str">
        <f>IF(G204=2,"Réussi",IF(G204=1,"Ajourné",""))</f>
        <v>Réussi</v>
      </c>
      <c r="G204" s="25">
        <v>2</v>
      </c>
      <c r="H204" s="25">
        <v>32</v>
      </c>
    </row>
    <row r="205" spans="1:8" ht="20.65" customHeight="1" x14ac:dyDescent="0.25">
      <c r="A205" s="27"/>
      <c r="B205" s="28" t="s">
        <v>428</v>
      </c>
      <c r="C205" s="28" t="s">
        <v>429</v>
      </c>
      <c r="D205" s="28"/>
      <c r="E205" s="29" t="str">
        <f>IF(H205="","",FIXED(H205,1) &amp; " / " &amp; "50")</f>
        <v>30,0 / 50</v>
      </c>
      <c r="F205" s="28" t="str">
        <f>IF(G205=2,"Réussi",IF(G205=1,"Ajourné",""))</f>
        <v>Réussi</v>
      </c>
      <c r="G205" s="25">
        <v>2</v>
      </c>
      <c r="H205" s="25">
        <v>30</v>
      </c>
    </row>
    <row r="206" spans="1:8" ht="20.65" customHeight="1" x14ac:dyDescent="0.25">
      <c r="A206" s="27"/>
      <c r="B206" s="28" t="s">
        <v>430</v>
      </c>
      <c r="C206" s="28" t="s">
        <v>431</v>
      </c>
      <c r="D206" s="28"/>
      <c r="E206" s="29" t="str">
        <f>IF(H206="","",FIXED(H206,1) &amp; " / " &amp; "50")</f>
        <v>34,0 / 50</v>
      </c>
      <c r="F206" s="28" t="str">
        <f>IF(G206=2,"Réussi",IF(G206=1,"Ajourné",""))</f>
        <v>Réussi</v>
      </c>
      <c r="G206" s="25">
        <v>2</v>
      </c>
      <c r="H206" s="25">
        <v>34</v>
      </c>
    </row>
    <row r="207" spans="1:8" ht="20.65" customHeight="1" x14ac:dyDescent="0.25">
      <c r="A207" s="27"/>
      <c r="B207" s="28" t="s">
        <v>432</v>
      </c>
      <c r="C207" s="28" t="s">
        <v>433</v>
      </c>
      <c r="D207" s="28"/>
      <c r="E207" s="29" t="str">
        <f>IF(H207="","",FIXED(H207,1) &amp; " / " &amp; "50")</f>
        <v>26,0 / 50</v>
      </c>
      <c r="F207" s="28" t="str">
        <f>IF(G207=2,"Réussi",IF(G207=1,"Ajourné",""))</f>
        <v>Réussi</v>
      </c>
      <c r="G207" s="25">
        <v>2</v>
      </c>
      <c r="H207" s="25">
        <v>26</v>
      </c>
    </row>
    <row r="208" spans="1:8" ht="20.65" customHeight="1" x14ac:dyDescent="0.25">
      <c r="A208" s="27"/>
      <c r="B208" s="28" t="s">
        <v>434</v>
      </c>
      <c r="C208" s="28" t="s">
        <v>435</v>
      </c>
      <c r="D208" s="28"/>
      <c r="E208" s="29" t="str">
        <f>IF(H208="","",FIXED(H208,1) &amp; " / " &amp; "50")</f>
        <v>32,0 / 50</v>
      </c>
      <c r="F208" s="28" t="str">
        <f>IF(G208=2,"Réussi",IF(G208=1,"Ajourné",""))</f>
        <v>Réussi</v>
      </c>
      <c r="G208" s="25">
        <v>2</v>
      </c>
      <c r="H208" s="25">
        <v>32</v>
      </c>
    </row>
    <row r="209" spans="1:8" ht="20.65" customHeight="1" x14ac:dyDescent="0.25">
      <c r="A209" s="27"/>
      <c r="B209" s="28" t="s">
        <v>436</v>
      </c>
      <c r="C209" s="28" t="s">
        <v>437</v>
      </c>
      <c r="D209" s="28"/>
      <c r="E209" s="29" t="str">
        <f>IF(H209="","",FIXED(H209,1) &amp; " / " &amp; "50")</f>
        <v>20,0 / 50</v>
      </c>
      <c r="F209" s="28" t="str">
        <f>IF(G209=2,"Réussi",IF(G209=1,"Ajourné",""))</f>
        <v>Ajourné</v>
      </c>
      <c r="G209" s="25">
        <v>1</v>
      </c>
      <c r="H209" s="25">
        <v>20</v>
      </c>
    </row>
    <row r="210" spans="1:8" ht="20.65" customHeight="1" x14ac:dyDescent="0.25">
      <c r="A210" s="27"/>
      <c r="B210" s="28" t="s">
        <v>438</v>
      </c>
      <c r="C210" s="28" t="s">
        <v>439</v>
      </c>
      <c r="D210" s="28"/>
      <c r="E210" s="29" t="str">
        <f>IF(H210="","",FIXED(H210,1) &amp; " / " &amp; "50")</f>
        <v>32,0 / 50</v>
      </c>
      <c r="F210" s="28" t="str">
        <f>IF(G210=2,"Réussi",IF(G210=1,"Ajourné",""))</f>
        <v>Réussi</v>
      </c>
      <c r="G210" s="25">
        <v>2</v>
      </c>
      <c r="H210" s="25">
        <v>32</v>
      </c>
    </row>
    <row r="211" spans="1:8" ht="20.65" customHeight="1" x14ac:dyDescent="0.25">
      <c r="A211" s="27"/>
      <c r="B211" s="28" t="s">
        <v>440</v>
      </c>
      <c r="C211" s="28" t="s">
        <v>441</v>
      </c>
      <c r="D211" s="28"/>
      <c r="E211" s="29" t="str">
        <f>IF(H211="","",FIXED(H211,1) &amp; " / " &amp; "50")</f>
        <v>26,0 / 50</v>
      </c>
      <c r="F211" s="28" t="str">
        <f>IF(G211=2,"Réussi",IF(G211=1,"Ajourné",""))</f>
        <v>Réussi</v>
      </c>
      <c r="G211" s="25">
        <v>2</v>
      </c>
      <c r="H211" s="25">
        <v>26</v>
      </c>
    </row>
    <row r="212" spans="1:8" ht="20.65" customHeight="1" x14ac:dyDescent="0.25">
      <c r="A212" s="27"/>
      <c r="B212" s="28" t="s">
        <v>442</v>
      </c>
      <c r="C212" s="28" t="s">
        <v>443</v>
      </c>
      <c r="D212" s="28"/>
      <c r="E212" s="29" t="str">
        <f>IF(H212="","",FIXED(H212,1) &amp; " / " &amp; "50")</f>
        <v>20,0 / 50</v>
      </c>
      <c r="F212" s="28" t="str">
        <f>IF(G212=2,"Réussi",IF(G212=1,"Ajourné",""))</f>
        <v>Ajourné</v>
      </c>
      <c r="G212" s="25">
        <v>1</v>
      </c>
      <c r="H212" s="25">
        <v>20</v>
      </c>
    </row>
    <row r="213" spans="1:8" ht="20.65" customHeight="1" x14ac:dyDescent="0.25">
      <c r="A213" s="27"/>
      <c r="B213" s="28" t="s">
        <v>444</v>
      </c>
      <c r="C213" s="28" t="s">
        <v>445</v>
      </c>
      <c r="D213" s="28"/>
      <c r="E213" s="29" t="str">
        <f>IF(H213="","",FIXED(H213,1) &amp; " / " &amp; "50")</f>
        <v>30,0 / 50</v>
      </c>
      <c r="F213" s="28" t="str">
        <f>IF(G213=2,"Réussi",IF(G213=1,"Ajourné",""))</f>
        <v>Réussi</v>
      </c>
      <c r="G213" s="25">
        <v>2</v>
      </c>
      <c r="H213" s="25">
        <v>30</v>
      </c>
    </row>
    <row r="214" spans="1:8" ht="20.65" customHeight="1" x14ac:dyDescent="0.25">
      <c r="A214" s="27"/>
      <c r="B214" s="28" t="s">
        <v>446</v>
      </c>
      <c r="C214" s="28" t="s">
        <v>447</v>
      </c>
      <c r="D214" s="28"/>
      <c r="E214" s="29" t="str">
        <f>IF(H214="","",FIXED(H214,1) &amp; " / " &amp; "50")</f>
        <v>34,0 / 50</v>
      </c>
      <c r="F214" s="28" t="str">
        <f>IF(G214=2,"Réussi",IF(G214=1,"Ajourné",""))</f>
        <v>Réussi</v>
      </c>
      <c r="G214" s="25">
        <v>2</v>
      </c>
      <c r="H214" s="25">
        <v>34</v>
      </c>
    </row>
    <row r="215" spans="1:8" ht="20.65" customHeight="1" x14ac:dyDescent="0.25">
      <c r="A215" s="27"/>
      <c r="B215" s="28" t="s">
        <v>448</v>
      </c>
      <c r="C215" s="28" t="s">
        <v>449</v>
      </c>
      <c r="D215" s="28"/>
      <c r="E215" s="29" t="str">
        <f>IF(H215="","",FIXED(H215,1) &amp; " / " &amp; "50")</f>
        <v>32,0 / 50</v>
      </c>
      <c r="F215" s="28" t="str">
        <f>IF(G215=2,"Réussi",IF(G215=1,"Ajourné",""))</f>
        <v>Réussi</v>
      </c>
      <c r="G215" s="25">
        <v>2</v>
      </c>
      <c r="H215" s="25">
        <v>32</v>
      </c>
    </row>
    <row r="216" spans="1:8" ht="20.65" customHeight="1" x14ac:dyDescent="0.25">
      <c r="A216" s="27"/>
      <c r="B216" s="28" t="s">
        <v>450</v>
      </c>
      <c r="C216" s="28" t="s">
        <v>451</v>
      </c>
      <c r="D216" s="28"/>
      <c r="E216" s="29" t="str">
        <f>IF(H216="","",FIXED(H216,1) &amp; " / " &amp; "50")</f>
        <v>30,0 / 50</v>
      </c>
      <c r="F216" s="28" t="str">
        <f>IF(G216=2,"Réussi",IF(G216=1,"Ajourné",""))</f>
        <v>Réussi</v>
      </c>
      <c r="G216" s="25">
        <v>2</v>
      </c>
      <c r="H216" s="25">
        <v>30</v>
      </c>
    </row>
    <row r="217" spans="1:8" ht="20.65" customHeight="1" x14ac:dyDescent="0.25">
      <c r="A217" s="27"/>
      <c r="B217" s="28" t="s">
        <v>452</v>
      </c>
      <c r="C217" s="28" t="s">
        <v>453</v>
      </c>
      <c r="D217" s="28"/>
      <c r="E217" s="29" t="str">
        <f>IF(H217="","",FIXED(H217,1) &amp; " / " &amp; "50")</f>
        <v>28,0 / 50</v>
      </c>
      <c r="F217" s="28" t="str">
        <f>IF(G217=2,"Réussi",IF(G217=1,"Ajourné",""))</f>
        <v>Réussi</v>
      </c>
      <c r="G217" s="25">
        <v>2</v>
      </c>
      <c r="H217" s="25">
        <v>28</v>
      </c>
    </row>
    <row r="218" spans="1:8" ht="20.65" customHeight="1" x14ac:dyDescent="0.25">
      <c r="A218" s="27"/>
      <c r="B218" s="28" t="s">
        <v>454</v>
      </c>
      <c r="C218" s="28" t="s">
        <v>455</v>
      </c>
      <c r="D218" s="28"/>
      <c r="E218" s="29" t="str">
        <f>IF(H218="","",FIXED(H218,1) &amp; " / " &amp; "50")</f>
        <v>32,0 / 50</v>
      </c>
      <c r="F218" s="28" t="str">
        <f>IF(G218=2,"Réussi",IF(G218=1,"Ajourné",""))</f>
        <v>Réussi</v>
      </c>
      <c r="G218" s="25">
        <v>2</v>
      </c>
      <c r="H218" s="25">
        <v>32</v>
      </c>
    </row>
    <row r="219" spans="1:8" ht="20.65" customHeight="1" x14ac:dyDescent="0.25">
      <c r="A219" s="27"/>
      <c r="B219" s="28" t="s">
        <v>456</v>
      </c>
      <c r="C219" s="28" t="s">
        <v>457</v>
      </c>
      <c r="D219" s="28"/>
      <c r="E219" s="29" t="str">
        <f>IF(H219="","",FIXED(H219,1) &amp; " / " &amp; "50")</f>
        <v>28,0 / 50</v>
      </c>
      <c r="F219" s="28" t="str">
        <f>IF(G219=2,"Réussi",IF(G219=1,"Ajourné",""))</f>
        <v>Réussi</v>
      </c>
      <c r="G219" s="25">
        <v>2</v>
      </c>
      <c r="H219" s="25">
        <v>28</v>
      </c>
    </row>
    <row r="220" spans="1:8" ht="20.65" customHeight="1" x14ac:dyDescent="0.25">
      <c r="A220" s="27"/>
      <c r="B220" s="28" t="s">
        <v>458</v>
      </c>
      <c r="C220" s="28" t="s">
        <v>459</v>
      </c>
      <c r="D220" s="28"/>
      <c r="E220" s="29" t="str">
        <f>IF(H220="","",FIXED(H220,1) &amp; " / " &amp; "50")</f>
        <v>28,0 / 50</v>
      </c>
      <c r="F220" s="28" t="str">
        <f>IF(G220=2,"Réussi",IF(G220=1,"Ajourné",""))</f>
        <v>Réussi</v>
      </c>
      <c r="G220" s="25">
        <v>2</v>
      </c>
      <c r="H220" s="25">
        <v>28</v>
      </c>
    </row>
    <row r="221" spans="1:8" ht="20.65" customHeight="1" x14ac:dyDescent="0.25">
      <c r="A221" s="27"/>
      <c r="B221" s="28" t="s">
        <v>460</v>
      </c>
      <c r="C221" s="28" t="s">
        <v>461</v>
      </c>
      <c r="D221" s="28"/>
      <c r="E221" s="29" t="str">
        <f>IF(H221="","",FIXED(H221,1) &amp; " / " &amp; "50")</f>
        <v>30,0 / 50</v>
      </c>
      <c r="F221" s="28" t="str">
        <f>IF(G221=2,"Réussi",IF(G221=1,"Ajourné",""))</f>
        <v>Réussi</v>
      </c>
      <c r="G221" s="25">
        <v>2</v>
      </c>
      <c r="H221" s="25">
        <v>30</v>
      </c>
    </row>
    <row r="222" spans="1:8" ht="20.65" customHeight="1" x14ac:dyDescent="0.25">
      <c r="A222" s="27"/>
      <c r="B222" s="28" t="s">
        <v>462</v>
      </c>
      <c r="C222" s="28" t="s">
        <v>463</v>
      </c>
      <c r="D222" s="28"/>
      <c r="E222" s="29" t="str">
        <f>IF(H222="","",FIXED(H222,1) &amp; " / " &amp; "50")</f>
        <v>34,0 / 50</v>
      </c>
      <c r="F222" s="28" t="str">
        <f>IF(G222=2,"Réussi",IF(G222=1,"Ajourné",""))</f>
        <v>Réussi</v>
      </c>
      <c r="G222" s="25">
        <v>2</v>
      </c>
      <c r="H222" s="25">
        <v>34</v>
      </c>
    </row>
    <row r="223" spans="1:8" ht="20.65" customHeight="1" x14ac:dyDescent="0.25">
      <c r="A223" s="27"/>
      <c r="B223" s="28" t="s">
        <v>464</v>
      </c>
      <c r="C223" s="28" t="s">
        <v>465</v>
      </c>
      <c r="D223" s="28"/>
      <c r="E223" s="29" t="str">
        <f>IF(H223="","",FIXED(H223,1) &amp; " / " &amp; "50")</f>
        <v>30,0 / 50</v>
      </c>
      <c r="F223" s="28" t="str">
        <f>IF(G223=2,"Réussi",IF(G223=1,"Ajourné",""))</f>
        <v>Réussi</v>
      </c>
      <c r="G223" s="25">
        <v>2</v>
      </c>
      <c r="H223" s="25">
        <v>30</v>
      </c>
    </row>
    <row r="224" spans="1:8" ht="20.65" customHeight="1" x14ac:dyDescent="0.25">
      <c r="A224" s="27"/>
      <c r="B224" s="28" t="s">
        <v>466</v>
      </c>
      <c r="C224" s="28" t="s">
        <v>467</v>
      </c>
      <c r="D224" s="28"/>
      <c r="E224" s="29" t="str">
        <f>IF(H224="","",FIXED(H224,1) &amp; " / " &amp; "50")</f>
        <v>40,0 / 50</v>
      </c>
      <c r="F224" s="28" t="str">
        <f>IF(G224=2,"Réussi",IF(G224=1,"Ajourné",""))</f>
        <v>Réussi</v>
      </c>
      <c r="G224" s="25">
        <v>2</v>
      </c>
      <c r="H224" s="25">
        <v>40</v>
      </c>
    </row>
    <row r="225" spans="1:8" ht="20.65" customHeight="1" x14ac:dyDescent="0.25">
      <c r="A225" s="27"/>
      <c r="B225" s="28" t="s">
        <v>468</v>
      </c>
      <c r="C225" s="28" t="s">
        <v>469</v>
      </c>
      <c r="D225" s="28"/>
      <c r="E225" s="29" t="str">
        <f>IF(H225="","",FIXED(H225,1) &amp; " / " &amp; "50")</f>
        <v>28,0 / 50</v>
      </c>
      <c r="F225" s="28" t="str">
        <f>IF(G225=2,"Réussi",IF(G225=1,"Ajourné",""))</f>
        <v>Réussi</v>
      </c>
      <c r="G225" s="25">
        <v>2</v>
      </c>
      <c r="H225" s="25">
        <v>28</v>
      </c>
    </row>
    <row r="226" spans="1:8" ht="20.65" customHeight="1" x14ac:dyDescent="0.25">
      <c r="A226" s="27"/>
      <c r="B226" s="28" t="s">
        <v>470</v>
      </c>
      <c r="C226" s="28" t="s">
        <v>471</v>
      </c>
      <c r="D226" s="28"/>
      <c r="E226" s="29" t="str">
        <f>IF(H226="","",FIXED(H226,1) &amp; " / " &amp; "50")</f>
        <v>28,0 / 50</v>
      </c>
      <c r="F226" s="28" t="str">
        <f>IF(G226=2,"Réussi",IF(G226=1,"Ajourné",""))</f>
        <v>Réussi</v>
      </c>
      <c r="G226" s="25">
        <v>2</v>
      </c>
      <c r="H226" s="25">
        <v>28</v>
      </c>
    </row>
    <row r="227" spans="1:8" ht="20.65" customHeight="1" x14ac:dyDescent="0.25">
      <c r="A227" s="27"/>
      <c r="B227" s="28" t="s">
        <v>472</v>
      </c>
      <c r="C227" s="28" t="s">
        <v>473</v>
      </c>
      <c r="D227" s="28"/>
      <c r="E227" s="29" t="str">
        <f>IF(H227="","",FIXED(H227,1) &amp; " / " &amp; "50")</f>
        <v>32,0 / 50</v>
      </c>
      <c r="F227" s="28" t="str">
        <f>IF(G227=2,"Réussi",IF(G227=1,"Ajourné",""))</f>
        <v>Réussi</v>
      </c>
      <c r="G227" s="25">
        <v>2</v>
      </c>
      <c r="H227" s="25">
        <v>32</v>
      </c>
    </row>
    <row r="228" spans="1:8" ht="20.65" customHeight="1" x14ac:dyDescent="0.25">
      <c r="A228" s="27"/>
      <c r="B228" s="28" t="s">
        <v>474</v>
      </c>
      <c r="C228" s="28" t="s">
        <v>475</v>
      </c>
      <c r="D228" s="28"/>
      <c r="E228" s="29" t="str">
        <f>IF(H228="","",FIXED(H228,1) &amp; " / " &amp; "50")</f>
        <v>30,0 / 50</v>
      </c>
      <c r="F228" s="28" t="str">
        <f>IF(G228=2,"Réussi",IF(G228=1,"Ajourné",""))</f>
        <v>Réussi</v>
      </c>
      <c r="G228" s="25">
        <v>2</v>
      </c>
      <c r="H228" s="25">
        <v>30</v>
      </c>
    </row>
    <row r="229" spans="1:8" ht="20.65" customHeight="1" x14ac:dyDescent="0.25">
      <c r="A229" s="27"/>
      <c r="B229" s="28" t="s">
        <v>476</v>
      </c>
      <c r="C229" s="28" t="s">
        <v>477</v>
      </c>
      <c r="D229" s="28"/>
      <c r="E229" s="29" t="str">
        <f>IF(H229="","",FIXED(H229,1) &amp; " / " &amp; "50")</f>
        <v>28,0 / 50</v>
      </c>
      <c r="F229" s="28" t="str">
        <f>IF(G229=2,"Réussi",IF(G229=1,"Ajourné",""))</f>
        <v>Réussi</v>
      </c>
      <c r="G229" s="25">
        <v>2</v>
      </c>
      <c r="H229" s="25">
        <v>28</v>
      </c>
    </row>
    <row r="230" spans="1:8" ht="20.65" customHeight="1" x14ac:dyDescent="0.25">
      <c r="A230" s="27"/>
      <c r="B230" s="28" t="s">
        <v>478</v>
      </c>
      <c r="C230" s="28" t="s">
        <v>479</v>
      </c>
      <c r="D230" s="28"/>
      <c r="E230" s="29" t="str">
        <f>IF(H230="","",FIXED(H230,1) &amp; " / " &amp; "50")</f>
        <v>28,0 / 50</v>
      </c>
      <c r="F230" s="28" t="str">
        <f>IF(G230=2,"Réussi",IF(G230=1,"Ajourné",""))</f>
        <v>Réussi</v>
      </c>
      <c r="G230" s="25">
        <v>2</v>
      </c>
      <c r="H230" s="25">
        <v>28</v>
      </c>
    </row>
    <row r="231" spans="1:8" ht="20.65" customHeight="1" x14ac:dyDescent="0.25">
      <c r="A231" s="27"/>
      <c r="B231" s="28" t="s">
        <v>480</v>
      </c>
      <c r="C231" s="28" t="s">
        <v>481</v>
      </c>
      <c r="D231" s="28"/>
      <c r="E231" s="29" t="str">
        <f>IF(H231="","",FIXED(H231,1) &amp; " / " &amp; "50")</f>
        <v>34,0 / 50</v>
      </c>
      <c r="F231" s="28" t="str">
        <f>IF(G231=2,"Réussi",IF(G231=1,"Ajourné",""))</f>
        <v>Réussi</v>
      </c>
      <c r="G231" s="25">
        <v>2</v>
      </c>
      <c r="H231" s="25">
        <v>34</v>
      </c>
    </row>
    <row r="232" spans="1:8" ht="20.65" customHeight="1" x14ac:dyDescent="0.25">
      <c r="A232" s="27"/>
      <c r="B232" s="28" t="s">
        <v>482</v>
      </c>
      <c r="C232" s="28" t="s">
        <v>483</v>
      </c>
      <c r="D232" s="28"/>
      <c r="E232" s="29" t="str">
        <f>IF(H232="","",FIXED(H232,1) &amp; " / " &amp; "50")</f>
        <v>30,0 / 50</v>
      </c>
      <c r="F232" s="28" t="str">
        <f>IF(G232=2,"Réussi",IF(G232=1,"Ajourné",""))</f>
        <v>Réussi</v>
      </c>
      <c r="G232" s="25">
        <v>2</v>
      </c>
      <c r="H232" s="25">
        <v>30</v>
      </c>
    </row>
    <row r="233" spans="1:8" ht="20.65" customHeight="1" x14ac:dyDescent="0.25">
      <c r="A233" s="27"/>
      <c r="B233" s="28" t="s">
        <v>484</v>
      </c>
      <c r="C233" s="28" t="s">
        <v>485</v>
      </c>
      <c r="D233" s="28"/>
      <c r="E233" s="29" t="str">
        <f>IF(H233="","",FIXED(H233,1) &amp; " / " &amp; "50")</f>
        <v>28,0 / 50</v>
      </c>
      <c r="F233" s="28" t="str">
        <f>IF(G233=2,"Réussi",IF(G233=1,"Ajourné",""))</f>
        <v>Réussi</v>
      </c>
      <c r="G233" s="25">
        <v>2</v>
      </c>
      <c r="H233" s="25">
        <v>28</v>
      </c>
    </row>
    <row r="234" spans="1:8" ht="20.65" customHeight="1" x14ac:dyDescent="0.25">
      <c r="A234" s="27"/>
      <c r="B234" s="28" t="s">
        <v>486</v>
      </c>
      <c r="C234" s="28" t="s">
        <v>487</v>
      </c>
      <c r="D234" s="28"/>
      <c r="E234" s="29" t="str">
        <f>IF(H234="","",FIXED(H234,1) &amp; " / " &amp; "50")</f>
        <v>16,0 / 50</v>
      </c>
      <c r="F234" s="28" t="str">
        <f>IF(G234=2,"Réussi",IF(G234=1,"Ajourné",""))</f>
        <v>Ajourné</v>
      </c>
      <c r="G234" s="25">
        <v>1</v>
      </c>
      <c r="H234" s="25">
        <v>16</v>
      </c>
    </row>
    <row r="235" spans="1:8" ht="20.65" customHeight="1" x14ac:dyDescent="0.25">
      <c r="A235" s="27"/>
      <c r="B235" s="28" t="s">
        <v>488</v>
      </c>
      <c r="C235" s="28" t="s">
        <v>489</v>
      </c>
      <c r="D235" s="28"/>
      <c r="E235" s="29" t="str">
        <f>IF(H235="","",FIXED(H235,1) &amp; " / " &amp; "50")</f>
        <v>30,0 / 50</v>
      </c>
      <c r="F235" s="28" t="str">
        <f>IF(G235=2,"Réussi",IF(G235=1,"Ajourné",""))</f>
        <v>Réussi</v>
      </c>
      <c r="G235" s="25">
        <v>2</v>
      </c>
      <c r="H235" s="25">
        <v>30</v>
      </c>
    </row>
    <row r="236" spans="1:8" ht="20.65" customHeight="1" x14ac:dyDescent="0.25">
      <c r="A236" s="27"/>
      <c r="B236" s="28" t="s">
        <v>490</v>
      </c>
      <c r="C236" s="28" t="s">
        <v>491</v>
      </c>
      <c r="D236" s="28"/>
      <c r="E236" s="29" t="str">
        <f>IF(H236="","",FIXED(H236,1) &amp; " / " &amp; "50")</f>
        <v>34,0 / 50</v>
      </c>
      <c r="F236" s="28" t="str">
        <f>IF(G236=2,"Réussi",IF(G236=1,"Ajourné",""))</f>
        <v>Réussi</v>
      </c>
      <c r="G236" s="25">
        <v>2</v>
      </c>
      <c r="H236" s="25">
        <v>34</v>
      </c>
    </row>
    <row r="237" spans="1:8" ht="20.65" customHeight="1" x14ac:dyDescent="0.25">
      <c r="A237" s="27"/>
      <c r="B237" s="28" t="s">
        <v>492</v>
      </c>
      <c r="C237" s="28" t="s">
        <v>493</v>
      </c>
      <c r="D237" s="28"/>
      <c r="E237" s="29" t="str">
        <f>IF(H237="","",FIXED(H237,1) &amp; " / " &amp; "50")</f>
        <v>28,0 / 50</v>
      </c>
      <c r="F237" s="28" t="str">
        <f>IF(G237=2,"Réussi",IF(G237=1,"Ajourné",""))</f>
        <v>Réussi</v>
      </c>
      <c r="G237" s="25">
        <v>2</v>
      </c>
      <c r="H237" s="25">
        <v>28</v>
      </c>
    </row>
    <row r="238" spans="1:8" ht="20.65" customHeight="1" x14ac:dyDescent="0.25">
      <c r="A238" s="27"/>
      <c r="B238" s="28" t="s">
        <v>494</v>
      </c>
      <c r="C238" s="28" t="s">
        <v>495</v>
      </c>
      <c r="D238" s="28"/>
      <c r="E238" s="29" t="str">
        <f>IF(H238="","",FIXED(H238,1) &amp; " / " &amp; "50")</f>
        <v>34,0 / 50</v>
      </c>
      <c r="F238" s="28" t="str">
        <f>IF(G238=2,"Réussi",IF(G238=1,"Ajourné",""))</f>
        <v>Réussi</v>
      </c>
      <c r="G238" s="25">
        <v>2</v>
      </c>
      <c r="H238" s="25">
        <v>34</v>
      </c>
    </row>
    <row r="239" spans="1:8" ht="20.65" customHeight="1" x14ac:dyDescent="0.25">
      <c r="A239" s="27"/>
      <c r="B239" s="28" t="s">
        <v>496</v>
      </c>
      <c r="C239" s="28" t="s">
        <v>497</v>
      </c>
      <c r="D239" s="28"/>
      <c r="E239" s="29" t="str">
        <f>IF(H239="","",FIXED(H239,1) &amp; " / " &amp; "50")</f>
        <v>24,0 / 50</v>
      </c>
      <c r="F239" s="28" t="str">
        <f>IF(G239=2,"Réussi",IF(G239=1,"Ajourné",""))</f>
        <v>Ajourné</v>
      </c>
      <c r="G239" s="25">
        <v>1</v>
      </c>
      <c r="H239" s="25">
        <v>24</v>
      </c>
    </row>
    <row r="240" spans="1:8" ht="20.65" customHeight="1" x14ac:dyDescent="0.25">
      <c r="A240" s="27"/>
      <c r="B240" s="28" t="s">
        <v>498</v>
      </c>
      <c r="C240" s="28" t="s">
        <v>499</v>
      </c>
      <c r="D240" s="28"/>
      <c r="E240" s="29" t="str">
        <f>IF(H240="","",FIXED(H240,1) &amp; " / " &amp; "50")</f>
        <v>24,0 / 50</v>
      </c>
      <c r="F240" s="28" t="str">
        <f>IF(G240=2,"Réussi",IF(G240=1,"Ajourné",""))</f>
        <v>Ajourné</v>
      </c>
      <c r="G240" s="25">
        <v>1</v>
      </c>
      <c r="H240" s="25">
        <v>24</v>
      </c>
    </row>
    <row r="241" spans="1:8" ht="20.65" customHeight="1" x14ac:dyDescent="0.25">
      <c r="A241" s="27"/>
      <c r="B241" s="28" t="s">
        <v>500</v>
      </c>
      <c r="C241" s="28" t="s">
        <v>501</v>
      </c>
      <c r="D241" s="28"/>
      <c r="E241" s="29" t="str">
        <f>IF(H241="","",FIXED(H241,1) &amp; " / " &amp; "50")</f>
        <v>30,0 / 50</v>
      </c>
      <c r="F241" s="28" t="str">
        <f>IF(G241=2,"Réussi",IF(G241=1,"Ajourné",""))</f>
        <v>Réussi</v>
      </c>
      <c r="G241" s="25">
        <v>2</v>
      </c>
      <c r="H241" s="25">
        <v>30</v>
      </c>
    </row>
    <row r="242" spans="1:8" ht="20.65" customHeight="1" x14ac:dyDescent="0.25">
      <c r="A242" s="27"/>
      <c r="B242" s="28" t="s">
        <v>502</v>
      </c>
      <c r="C242" s="28" t="s">
        <v>503</v>
      </c>
      <c r="D242" s="28"/>
      <c r="E242" s="29" t="str">
        <f>IF(H242="","",FIXED(H242,1) &amp; " / " &amp; "50")</f>
        <v>20,0 / 50</v>
      </c>
      <c r="F242" s="28" t="str">
        <f>IF(G242=2,"Réussi",IF(G242=1,"Ajourné",""))</f>
        <v>Ajourné</v>
      </c>
      <c r="G242" s="25">
        <v>1</v>
      </c>
      <c r="H242" s="25">
        <v>20</v>
      </c>
    </row>
    <row r="243" spans="1:8" ht="20.65" customHeight="1" x14ac:dyDescent="0.25">
      <c r="A243" s="27"/>
      <c r="B243" s="28" t="s">
        <v>504</v>
      </c>
      <c r="C243" s="28" t="s">
        <v>505</v>
      </c>
      <c r="D243" s="28"/>
      <c r="E243" s="29" t="str">
        <f>IF(H243="","",FIXED(H243,1) &amp; " / " &amp; "50")</f>
        <v>34,0 / 50</v>
      </c>
      <c r="F243" s="28" t="str">
        <f>IF(G243=2,"Réussi",IF(G243=1,"Ajourné",""))</f>
        <v>Réussi</v>
      </c>
      <c r="G243" s="25">
        <v>2</v>
      </c>
      <c r="H243" s="25">
        <v>34</v>
      </c>
    </row>
    <row r="244" spans="1:8" ht="20.65" customHeight="1" x14ac:dyDescent="0.25">
      <c r="A244" s="27"/>
      <c r="B244" s="28" t="s">
        <v>506</v>
      </c>
      <c r="C244" s="28" t="s">
        <v>507</v>
      </c>
      <c r="D244" s="28"/>
      <c r="E244" s="29" t="str">
        <f>IF(H244="","",FIXED(H244,1) &amp; " / " &amp; "50")</f>
        <v>28,0 / 50</v>
      </c>
      <c r="F244" s="28" t="str">
        <f>IF(G244=2,"Réussi",IF(G244=1,"Ajourné",""))</f>
        <v>Réussi</v>
      </c>
      <c r="G244" s="25">
        <v>2</v>
      </c>
      <c r="H244" s="25">
        <v>28</v>
      </c>
    </row>
    <row r="245" spans="1:8" ht="20.65" customHeight="1" x14ac:dyDescent="0.25">
      <c r="A245" s="27"/>
      <c r="B245" s="28" t="s">
        <v>508</v>
      </c>
      <c r="C245" s="28" t="s">
        <v>509</v>
      </c>
      <c r="D245" s="28"/>
      <c r="E245" s="29" t="str">
        <f>IF(H245="","",FIXED(H245,1) &amp; " / " &amp; "50")</f>
        <v>20,0 / 50</v>
      </c>
      <c r="F245" s="28" t="str">
        <f>IF(G245=2,"Réussi",IF(G245=1,"Ajourné",""))</f>
        <v>Ajourné</v>
      </c>
      <c r="G245" s="25">
        <v>1</v>
      </c>
      <c r="H245" s="25">
        <v>20</v>
      </c>
    </row>
    <row r="246" spans="1:8" ht="20.65" customHeight="1" x14ac:dyDescent="0.25">
      <c r="A246" s="27"/>
      <c r="B246" s="28" t="s">
        <v>510</v>
      </c>
      <c r="C246" s="28" t="s">
        <v>511</v>
      </c>
      <c r="D246" s="28"/>
      <c r="E246" s="29" t="str">
        <f>IF(H246="","",FIXED(H246,1) &amp; " / " &amp; "50")</f>
        <v>30,0 / 50</v>
      </c>
      <c r="F246" s="28" t="str">
        <f>IF(G246=2,"Réussi",IF(G246=1,"Ajourné",""))</f>
        <v>Réussi</v>
      </c>
      <c r="G246" s="25">
        <v>2</v>
      </c>
      <c r="H246" s="25">
        <v>30</v>
      </c>
    </row>
    <row r="247" spans="1:8" ht="20.65" customHeight="1" x14ac:dyDescent="0.25">
      <c r="A247" s="27"/>
      <c r="B247" s="28" t="s">
        <v>512</v>
      </c>
      <c r="C247" s="28" t="s">
        <v>513</v>
      </c>
      <c r="D247" s="28"/>
      <c r="E247" s="29" t="str">
        <f>IF(H247="","",FIXED(H247,1) &amp; " / " &amp; "50")</f>
        <v>16,0 / 50</v>
      </c>
      <c r="F247" s="28" t="str">
        <f>IF(G247=2,"Réussi",IF(G247=1,"Ajourné",""))</f>
        <v>Ajourné</v>
      </c>
      <c r="G247" s="25">
        <v>1</v>
      </c>
      <c r="H247" s="25">
        <v>16</v>
      </c>
    </row>
    <row r="248" spans="1:8" ht="20.65" customHeight="1" x14ac:dyDescent="0.25">
      <c r="A248" s="27"/>
      <c r="B248" s="28" t="s">
        <v>514</v>
      </c>
      <c r="C248" s="28" t="s">
        <v>515</v>
      </c>
      <c r="D248" s="28"/>
      <c r="E248" s="29" t="str">
        <f>IF(H248="","",FIXED(H248,1) &amp; " / " &amp; "50")</f>
        <v>16,0 / 50</v>
      </c>
      <c r="F248" s="28" t="str">
        <f>IF(G248=2,"Réussi",IF(G248=1,"Ajourné",""))</f>
        <v>Ajourné</v>
      </c>
      <c r="G248" s="25">
        <v>1</v>
      </c>
      <c r="H248" s="25">
        <v>16</v>
      </c>
    </row>
    <row r="249" spans="1:8" ht="20.65" customHeight="1" x14ac:dyDescent="0.25">
      <c r="A249" s="27"/>
      <c r="B249" s="28" t="s">
        <v>516</v>
      </c>
      <c r="C249" s="28" t="s">
        <v>517</v>
      </c>
      <c r="D249" s="28"/>
      <c r="E249" s="29" t="str">
        <f>IF(H249="","",FIXED(H249,1) &amp; " / " &amp; "50")</f>
        <v>26,0 / 50</v>
      </c>
      <c r="F249" s="28" t="str">
        <f>IF(G249=2,"Réussi",IF(G249=1,"Ajourné",""))</f>
        <v>Réussi</v>
      </c>
      <c r="G249" s="25">
        <v>2</v>
      </c>
      <c r="H249" s="25">
        <v>26</v>
      </c>
    </row>
    <row r="250" spans="1:8" ht="20.65" customHeight="1" x14ac:dyDescent="0.25">
      <c r="A250" s="27"/>
      <c r="B250" s="28" t="s">
        <v>518</v>
      </c>
      <c r="C250" s="28" t="s">
        <v>519</v>
      </c>
      <c r="D250" s="28"/>
      <c r="E250" s="29" t="str">
        <f>IF(H250="","",FIXED(H250,1) &amp; " / " &amp; "50")</f>
        <v>32,0 / 50</v>
      </c>
      <c r="F250" s="28" t="str">
        <f>IF(G250=2,"Réussi",IF(G250=1,"Ajourné",""))</f>
        <v>Réussi</v>
      </c>
      <c r="G250" s="25">
        <v>2</v>
      </c>
      <c r="H250" s="25">
        <v>32</v>
      </c>
    </row>
    <row r="251" spans="1:8" ht="20.65" customHeight="1" x14ac:dyDescent="0.25">
      <c r="A251" s="27"/>
      <c r="B251" s="28" t="s">
        <v>520</v>
      </c>
      <c r="C251" s="28" t="s">
        <v>521</v>
      </c>
      <c r="D251" s="28"/>
      <c r="E251" s="29" t="str">
        <f>IF(H251="","",FIXED(H251,1) &amp; " / " &amp; "50")</f>
        <v>30,0 / 50</v>
      </c>
      <c r="F251" s="28" t="str">
        <f>IF(G251=2,"Réussi",IF(G251=1,"Ajourné",""))</f>
        <v>Réussi</v>
      </c>
      <c r="G251" s="25">
        <v>2</v>
      </c>
      <c r="H251" s="25">
        <v>30</v>
      </c>
    </row>
    <row r="252" spans="1:8" ht="20.65" customHeight="1" x14ac:dyDescent="0.25">
      <c r="A252" s="27"/>
      <c r="B252" s="28" t="s">
        <v>522</v>
      </c>
      <c r="C252" s="28" t="s">
        <v>523</v>
      </c>
      <c r="D252" s="28"/>
      <c r="E252" s="29" t="str">
        <f>IF(H252="","",FIXED(H252,1) &amp; " / " &amp; "50")</f>
        <v>30,0 / 50</v>
      </c>
      <c r="F252" s="28" t="str">
        <f>IF(G252=2,"Réussi",IF(G252=1,"Ajourné",""))</f>
        <v>Réussi</v>
      </c>
      <c r="G252" s="25">
        <v>2</v>
      </c>
      <c r="H252" s="25">
        <v>30</v>
      </c>
    </row>
    <row r="253" spans="1:8" ht="20.65" customHeight="1" x14ac:dyDescent="0.25">
      <c r="A253" s="27"/>
      <c r="B253" s="28" t="s">
        <v>524</v>
      </c>
      <c r="C253" s="28" t="s">
        <v>525</v>
      </c>
      <c r="D253" s="28"/>
      <c r="E253" s="29" t="str">
        <f>IF(H253="","",FIXED(H253,1) &amp; " / " &amp; "50")</f>
        <v>20,0 / 50</v>
      </c>
      <c r="F253" s="28" t="str">
        <f>IF(G253=2,"Réussi",IF(G253=1,"Ajourné",""))</f>
        <v>Ajourné</v>
      </c>
      <c r="G253" s="25">
        <v>1</v>
      </c>
      <c r="H253" s="25">
        <v>20</v>
      </c>
    </row>
    <row r="254" spans="1:8" ht="20.65" customHeight="1" x14ac:dyDescent="0.25">
      <c r="A254" s="27"/>
      <c r="B254" s="28" t="s">
        <v>526</v>
      </c>
      <c r="C254" s="28" t="s">
        <v>527</v>
      </c>
      <c r="D254" s="28"/>
      <c r="E254" s="29" t="str">
        <f>IF(H254="","",FIXED(H254,1) &amp; " / " &amp; "50")</f>
        <v>30,0 / 50</v>
      </c>
      <c r="F254" s="28" t="str">
        <f>IF(G254=2,"Réussi",IF(G254=1,"Ajourné",""))</f>
        <v>Réussi</v>
      </c>
      <c r="G254" s="25">
        <v>2</v>
      </c>
      <c r="H254" s="25">
        <v>30</v>
      </c>
    </row>
    <row r="255" spans="1:8" ht="20.65" customHeight="1" x14ac:dyDescent="0.25">
      <c r="A255" s="27"/>
      <c r="B255" s="28" t="s">
        <v>528</v>
      </c>
      <c r="C255" s="28" t="s">
        <v>529</v>
      </c>
      <c r="D255" s="28"/>
      <c r="E255" s="29" t="str">
        <f>IF(H255="","",FIXED(H255,1) &amp; " / " &amp; "50")</f>
        <v>28,0 / 50</v>
      </c>
      <c r="F255" s="28" t="str">
        <f>IF(G255=2,"Réussi",IF(G255=1,"Ajourné",""))</f>
        <v>Réussi</v>
      </c>
      <c r="G255" s="25">
        <v>2</v>
      </c>
      <c r="H255" s="25">
        <v>28</v>
      </c>
    </row>
    <row r="256" spans="1:8" ht="20.65" customHeight="1" x14ac:dyDescent="0.25">
      <c r="A256" s="27"/>
      <c r="B256" s="28" t="s">
        <v>530</v>
      </c>
      <c r="C256" s="28" t="s">
        <v>531</v>
      </c>
      <c r="D256" s="28"/>
      <c r="E256" s="29" t="str">
        <f>IF(H256="","",FIXED(H256,1) &amp; " / " &amp; "50")</f>
        <v>24,0 / 50</v>
      </c>
      <c r="F256" s="28" t="str">
        <f>IF(G256=2,"Réussi",IF(G256=1,"Ajourné",""))</f>
        <v>Ajourné</v>
      </c>
      <c r="G256" s="25">
        <v>1</v>
      </c>
      <c r="H256" s="25">
        <v>24</v>
      </c>
    </row>
    <row r="257" spans="1:8" ht="20.65" customHeight="1" x14ac:dyDescent="0.25">
      <c r="A257" s="27"/>
      <c r="B257" s="28" t="s">
        <v>532</v>
      </c>
      <c r="C257" s="28" t="s">
        <v>533</v>
      </c>
      <c r="D257" s="28"/>
      <c r="E257" s="29" t="str">
        <f>IF(H257="","",FIXED(H257,1) &amp; " / " &amp; "50")</f>
        <v>30,0 / 50</v>
      </c>
      <c r="F257" s="28" t="str">
        <f>IF(G257=2,"Réussi",IF(G257=1,"Ajourné",""))</f>
        <v>Réussi</v>
      </c>
      <c r="G257" s="25">
        <v>2</v>
      </c>
      <c r="H257" s="25">
        <v>30</v>
      </c>
    </row>
    <row r="258" spans="1:8" ht="20.65" customHeight="1" x14ac:dyDescent="0.25">
      <c r="A258" s="27"/>
      <c r="B258" s="28" t="s">
        <v>534</v>
      </c>
      <c r="C258" s="28" t="s">
        <v>535</v>
      </c>
      <c r="D258" s="28"/>
      <c r="E258" s="29" t="str">
        <f>IF(H258="","",FIXED(H258,1) &amp; " / " &amp; "50")</f>
        <v>16,0 / 50</v>
      </c>
      <c r="F258" s="28" t="str">
        <f>IF(G258=2,"Réussi",IF(G258=1,"Ajourné",""))</f>
        <v>Ajourné</v>
      </c>
      <c r="G258" s="25">
        <v>1</v>
      </c>
      <c r="H258" s="25">
        <v>16</v>
      </c>
    </row>
    <row r="259" spans="1:8" ht="20.65" customHeight="1" x14ac:dyDescent="0.25">
      <c r="A259" s="27"/>
      <c r="B259" s="28" t="s">
        <v>536</v>
      </c>
      <c r="C259" s="28" t="s">
        <v>537</v>
      </c>
      <c r="D259" s="28"/>
      <c r="E259" s="29" t="str">
        <f>IF(H259="","",FIXED(H259,1) &amp; " / " &amp; "50")</f>
        <v>26,0 / 50</v>
      </c>
      <c r="F259" s="28" t="str">
        <f>IF(G259=2,"Réussi",IF(G259=1,"Ajourné",""))</f>
        <v>Réussi</v>
      </c>
      <c r="G259" s="25">
        <v>2</v>
      </c>
      <c r="H259" s="25">
        <v>26</v>
      </c>
    </row>
    <row r="260" spans="1:8" ht="20.65" customHeight="1" x14ac:dyDescent="0.25">
      <c r="A260" s="27"/>
      <c r="B260" s="28" t="s">
        <v>538</v>
      </c>
      <c r="C260" s="28" t="s">
        <v>539</v>
      </c>
      <c r="D260" s="28"/>
      <c r="E260" s="29" t="str">
        <f>IF(H260="","",FIXED(H260,1) &amp; " / " &amp; "50")</f>
        <v>36,0 / 50</v>
      </c>
      <c r="F260" s="28" t="str">
        <f>IF(G260=2,"Réussi",IF(G260=1,"Ajourné",""))</f>
        <v>Réussi</v>
      </c>
      <c r="G260" s="25">
        <v>2</v>
      </c>
      <c r="H260" s="25">
        <v>36</v>
      </c>
    </row>
    <row r="261" spans="1:8" ht="20.65" customHeight="1" x14ac:dyDescent="0.25">
      <c r="A261" s="27"/>
      <c r="B261" s="28" t="s">
        <v>540</v>
      </c>
      <c r="C261" s="28" t="s">
        <v>541</v>
      </c>
      <c r="D261" s="28"/>
      <c r="E261" s="29" t="str">
        <f>IF(H261="","",FIXED(H261,1) &amp; " / " &amp; "50")</f>
        <v>26,0 / 50</v>
      </c>
      <c r="F261" s="28" t="str">
        <f>IF(G261=2,"Réussi",IF(G261=1,"Ajourné",""))</f>
        <v>Réussi</v>
      </c>
      <c r="G261" s="25">
        <v>2</v>
      </c>
      <c r="H261" s="25">
        <v>26</v>
      </c>
    </row>
    <row r="262" spans="1:8" ht="20.65" customHeight="1" x14ac:dyDescent="0.25">
      <c r="A262" s="27"/>
      <c r="B262" s="28" t="s">
        <v>542</v>
      </c>
      <c r="C262" s="28" t="s">
        <v>543</v>
      </c>
      <c r="D262" s="28"/>
      <c r="E262" s="29" t="str">
        <f>IF(H262="","",FIXED(H262,1) &amp; " / " &amp; "50")</f>
        <v>26,0 / 50</v>
      </c>
      <c r="F262" s="28" t="str">
        <f>IF(G262=2,"Réussi",IF(G262=1,"Ajourné",""))</f>
        <v>Réussi</v>
      </c>
      <c r="G262" s="25">
        <v>2</v>
      </c>
      <c r="H262" s="25">
        <v>26</v>
      </c>
    </row>
    <row r="263" spans="1:8" ht="20.65" customHeight="1" x14ac:dyDescent="0.25">
      <c r="A263" s="27"/>
      <c r="B263" s="28" t="s">
        <v>544</v>
      </c>
      <c r="C263" s="28" t="s">
        <v>545</v>
      </c>
      <c r="D263" s="28"/>
      <c r="E263" s="29" t="str">
        <f>IF(H263="","",FIXED(H263,1) &amp; " / " &amp; "50")</f>
        <v>32,0 / 50</v>
      </c>
      <c r="F263" s="28" t="str">
        <f>IF(G263=2,"Réussi",IF(G263=1,"Ajourné",""))</f>
        <v>Réussi</v>
      </c>
      <c r="G263" s="25">
        <v>2</v>
      </c>
      <c r="H263" s="25">
        <v>32</v>
      </c>
    </row>
    <row r="264" spans="1:8" ht="20.65" customHeight="1" x14ac:dyDescent="0.25">
      <c r="A264" s="27"/>
      <c r="B264" s="28" t="s">
        <v>546</v>
      </c>
      <c r="C264" s="28" t="s">
        <v>547</v>
      </c>
      <c r="D264" s="28"/>
      <c r="E264" s="29" t="str">
        <f>IF(H264="","",FIXED(H264,1) &amp; " / " &amp; "50")</f>
        <v>30,0 / 50</v>
      </c>
      <c r="F264" s="28" t="str">
        <f>IF(G264=2,"Réussi",IF(G264=1,"Ajourné",""))</f>
        <v>Réussi</v>
      </c>
      <c r="G264" s="25">
        <v>2</v>
      </c>
      <c r="H264" s="25">
        <v>30</v>
      </c>
    </row>
    <row r="265" spans="1:8" ht="20.65" customHeight="1" x14ac:dyDescent="0.25">
      <c r="A265" s="27"/>
      <c r="B265" s="28" t="s">
        <v>548</v>
      </c>
      <c r="C265" s="28" t="s">
        <v>549</v>
      </c>
      <c r="D265" s="28"/>
      <c r="E265" s="29" t="str">
        <f>IF(H265="","",FIXED(H265,1) &amp; " / " &amp; "50")</f>
        <v>28,0 / 50</v>
      </c>
      <c r="F265" s="28" t="str">
        <f>IF(G265=2,"Réussi",IF(G265=1,"Ajourné",""))</f>
        <v>Réussi</v>
      </c>
      <c r="G265" s="25">
        <v>2</v>
      </c>
      <c r="H265" s="25">
        <v>28</v>
      </c>
    </row>
    <row r="266" spans="1:8" ht="20.65" customHeight="1" x14ac:dyDescent="0.25">
      <c r="A266" s="27"/>
      <c r="B266" s="28" t="s">
        <v>550</v>
      </c>
      <c r="C266" s="28" t="s">
        <v>551</v>
      </c>
      <c r="D266" s="28"/>
      <c r="E266" s="29" t="str">
        <f>IF(H266="","",FIXED(H266,1) &amp; " / " &amp; "50")</f>
        <v>34,0 / 50</v>
      </c>
      <c r="F266" s="28" t="str">
        <f>IF(G266=2,"Réussi",IF(G266=1,"Ajourné",""))</f>
        <v>Réussi</v>
      </c>
      <c r="G266" s="25">
        <v>2</v>
      </c>
      <c r="H266" s="25">
        <v>34</v>
      </c>
    </row>
    <row r="267" spans="1:8" ht="20.65" customHeight="1" x14ac:dyDescent="0.25">
      <c r="A267" s="27"/>
      <c r="B267" s="28" t="s">
        <v>552</v>
      </c>
      <c r="C267" s="28" t="s">
        <v>553</v>
      </c>
      <c r="D267" s="28"/>
      <c r="E267" s="29" t="str">
        <f>IF(H267="","",FIXED(H267,1) &amp; " / " &amp; "50")</f>
        <v>30,0 / 50</v>
      </c>
      <c r="F267" s="28" t="str">
        <f>IF(G267=2,"Réussi",IF(G267=1,"Ajourné",""))</f>
        <v>Réussi</v>
      </c>
      <c r="G267" s="25">
        <v>2</v>
      </c>
      <c r="H267" s="25">
        <v>30</v>
      </c>
    </row>
    <row r="268" spans="1:8" ht="20.65" customHeight="1" x14ac:dyDescent="0.25">
      <c r="A268" s="27"/>
      <c r="B268" s="28" t="s">
        <v>554</v>
      </c>
      <c r="C268" s="28" t="s">
        <v>555</v>
      </c>
      <c r="D268" s="28"/>
      <c r="E268" s="29" t="str">
        <f>IF(H268="","",FIXED(H268,1) &amp; " / " &amp; "50")</f>
        <v>32,0 / 50</v>
      </c>
      <c r="F268" s="28" t="str">
        <f>IF(G268=2,"Réussi",IF(G268=1,"Ajourné",""))</f>
        <v>Réussi</v>
      </c>
      <c r="G268" s="25">
        <v>2</v>
      </c>
      <c r="H268" s="25">
        <v>32</v>
      </c>
    </row>
    <row r="269" spans="1:8" ht="20.65" customHeight="1" x14ac:dyDescent="0.25">
      <c r="A269" s="27"/>
      <c r="B269" s="28" t="s">
        <v>556</v>
      </c>
      <c r="C269" s="28" t="s">
        <v>557</v>
      </c>
      <c r="D269" s="28"/>
      <c r="E269" s="29" t="str">
        <f>IF(H269="","",FIXED(H269,1) &amp; " / " &amp; "50")</f>
        <v>20,0 / 50</v>
      </c>
      <c r="F269" s="28" t="str">
        <f>IF(G269=2,"Réussi",IF(G269=1,"Ajourné",""))</f>
        <v>Ajourné</v>
      </c>
      <c r="G269" s="25">
        <v>1</v>
      </c>
      <c r="H269" s="25">
        <v>20</v>
      </c>
    </row>
    <row r="270" spans="1:8" ht="20.65" customHeight="1" x14ac:dyDescent="0.25">
      <c r="A270" s="27"/>
      <c r="B270" s="28" t="s">
        <v>558</v>
      </c>
      <c r="C270" s="28" t="s">
        <v>559</v>
      </c>
      <c r="D270" s="28"/>
      <c r="E270" s="29" t="str">
        <f>IF(H270="","",FIXED(H270,1) &amp; " / " &amp; "50")</f>
        <v>26,0 / 50</v>
      </c>
      <c r="F270" s="28" t="str">
        <f>IF(G270=2,"Réussi",IF(G270=1,"Ajourné",""))</f>
        <v>Réussi</v>
      </c>
      <c r="G270" s="25">
        <v>2</v>
      </c>
      <c r="H270" s="25">
        <v>26</v>
      </c>
    </row>
    <row r="271" spans="1:8" ht="20.65" customHeight="1" x14ac:dyDescent="0.25">
      <c r="A271" s="27"/>
      <c r="B271" s="28" t="s">
        <v>560</v>
      </c>
      <c r="C271" s="28" t="s">
        <v>561</v>
      </c>
      <c r="D271" s="28"/>
      <c r="E271" s="29" t="str">
        <f>IF(H271="","",FIXED(H271,1) &amp; " / " &amp; "50")</f>
        <v>32,0 / 50</v>
      </c>
      <c r="F271" s="28" t="str">
        <f>IF(G271=2,"Réussi",IF(G271=1,"Ajourné",""))</f>
        <v>Réussi</v>
      </c>
      <c r="G271" s="25">
        <v>2</v>
      </c>
      <c r="H271" s="25">
        <v>32</v>
      </c>
    </row>
    <row r="272" spans="1:8" ht="20.65" customHeight="1" x14ac:dyDescent="0.25">
      <c r="A272" s="27"/>
      <c r="B272" s="28" t="s">
        <v>562</v>
      </c>
      <c r="C272" s="28" t="s">
        <v>563</v>
      </c>
      <c r="D272" s="28"/>
      <c r="E272" s="29" t="str">
        <f>IF(H272="","",FIXED(H272,1) &amp; " / " &amp; "50")</f>
        <v>34,0 / 50</v>
      </c>
      <c r="F272" s="28" t="str">
        <f>IF(G272=2,"Réussi",IF(G272=1,"Ajourné",""))</f>
        <v>Réussi</v>
      </c>
      <c r="G272" s="25">
        <v>2</v>
      </c>
      <c r="H272" s="25">
        <v>34</v>
      </c>
    </row>
    <row r="273" spans="1:8" ht="20.65" customHeight="1" x14ac:dyDescent="0.25">
      <c r="A273" s="27"/>
      <c r="B273" s="28" t="s">
        <v>564</v>
      </c>
      <c r="C273" s="28" t="s">
        <v>565</v>
      </c>
      <c r="D273" s="28"/>
      <c r="E273" s="29" t="str">
        <f>IF(H273="","",FIXED(H273,1) &amp; " / " &amp; "50")</f>
        <v>30,0 / 50</v>
      </c>
      <c r="F273" s="28" t="str">
        <f>IF(G273=2,"Réussi",IF(G273=1,"Ajourné",""))</f>
        <v>Réussi</v>
      </c>
      <c r="G273" s="25">
        <v>2</v>
      </c>
      <c r="H273" s="25">
        <v>30</v>
      </c>
    </row>
    <row r="274" spans="1:8" ht="20.65" customHeight="1" x14ac:dyDescent="0.25">
      <c r="A274" s="27"/>
      <c r="B274" s="28" t="s">
        <v>566</v>
      </c>
      <c r="C274" s="28" t="s">
        <v>567</v>
      </c>
      <c r="D274" s="28"/>
      <c r="E274" s="29" t="str">
        <f>IF(H274="","",FIXED(H274,1) &amp; " / " &amp; "50")</f>
        <v>36,0 / 50</v>
      </c>
      <c r="F274" s="28" t="str">
        <f>IF(G274=2,"Réussi",IF(G274=1,"Ajourné",""))</f>
        <v>Réussi</v>
      </c>
      <c r="G274" s="25">
        <v>2</v>
      </c>
      <c r="H274" s="25">
        <v>36</v>
      </c>
    </row>
    <row r="275" spans="1:8" ht="20.65" customHeight="1" x14ac:dyDescent="0.25">
      <c r="A275" s="27"/>
      <c r="B275" s="28" t="s">
        <v>568</v>
      </c>
      <c r="C275" s="28" t="s">
        <v>569</v>
      </c>
      <c r="D275" s="28"/>
      <c r="E275" s="29" t="str">
        <f>IF(H275="","",FIXED(H275,1) &amp; " / " &amp; "50")</f>
        <v>30,0 / 50</v>
      </c>
      <c r="F275" s="28" t="str">
        <f>IF(G275=2,"Réussi",IF(G275=1,"Ajourné",""))</f>
        <v>Réussi</v>
      </c>
      <c r="G275" s="25">
        <v>2</v>
      </c>
      <c r="H275" s="25">
        <v>30</v>
      </c>
    </row>
    <row r="276" spans="1:8" ht="20.65" customHeight="1" x14ac:dyDescent="0.25">
      <c r="A276" s="27"/>
      <c r="B276" s="28" t="s">
        <v>570</v>
      </c>
      <c r="C276" s="28" t="s">
        <v>571</v>
      </c>
      <c r="D276" s="28"/>
      <c r="E276" s="29" t="str">
        <f>IF(H276="","",FIXED(H276,1) &amp; " / " &amp; "50")</f>
        <v>28,0 / 50</v>
      </c>
      <c r="F276" s="28" t="str">
        <f>IF(G276=2,"Réussi",IF(G276=1,"Ajourné",""))</f>
        <v>Réussi</v>
      </c>
      <c r="G276" s="25">
        <v>2</v>
      </c>
      <c r="H276" s="25">
        <v>28</v>
      </c>
    </row>
    <row r="277" spans="1:8" ht="20.65" customHeight="1" x14ac:dyDescent="0.25">
      <c r="A277" s="27"/>
      <c r="B277" s="28" t="s">
        <v>572</v>
      </c>
      <c r="C277" s="28" t="s">
        <v>573</v>
      </c>
      <c r="D277" s="28"/>
      <c r="E277" s="29" t="str">
        <f>IF(H277="","",FIXED(H277,1) &amp; " / " &amp; "50")</f>
        <v>24,0 / 50</v>
      </c>
      <c r="F277" s="28" t="str">
        <f>IF(G277=2,"Réussi",IF(G277=1,"Ajourné",""))</f>
        <v>Ajourné</v>
      </c>
      <c r="G277" s="25">
        <v>1</v>
      </c>
      <c r="H277" s="25">
        <v>24</v>
      </c>
    </row>
    <row r="278" spans="1:8" ht="20.65" customHeight="1" x14ac:dyDescent="0.25">
      <c r="A278" s="27"/>
      <c r="B278" s="28" t="s">
        <v>574</v>
      </c>
      <c r="C278" s="28" t="s">
        <v>575</v>
      </c>
      <c r="D278" s="28"/>
      <c r="E278" s="29" t="str">
        <f>IF(H278="","",FIXED(H278,1) &amp; " / " &amp; "50")</f>
        <v>40,0 / 50</v>
      </c>
      <c r="F278" s="28" t="str">
        <f>IF(G278=2,"Réussi",IF(G278=1,"Ajourné",""))</f>
        <v>Réussi</v>
      </c>
      <c r="G278" s="25">
        <v>2</v>
      </c>
      <c r="H278" s="25">
        <v>40</v>
      </c>
    </row>
    <row r="279" spans="1:8" ht="20.65" customHeight="1" x14ac:dyDescent="0.25">
      <c r="A279" s="27"/>
      <c r="B279" s="28" t="s">
        <v>576</v>
      </c>
      <c r="C279" s="28" t="s">
        <v>577</v>
      </c>
      <c r="D279" s="28"/>
      <c r="E279" s="29" t="str">
        <f>IF(H279="","",FIXED(H279,1) &amp; " / " &amp; "50")</f>
        <v>30,0 / 50</v>
      </c>
      <c r="F279" s="28" t="str">
        <f>IF(G279=2,"Réussi",IF(G279=1,"Ajourné",""))</f>
        <v>Réussi</v>
      </c>
      <c r="G279" s="25">
        <v>2</v>
      </c>
      <c r="H279" s="25">
        <v>30</v>
      </c>
    </row>
    <row r="280" spans="1:8" ht="20.65" customHeight="1" x14ac:dyDescent="0.25">
      <c r="A280" s="27"/>
      <c r="B280" s="28" t="s">
        <v>578</v>
      </c>
      <c r="C280" s="28" t="s">
        <v>579</v>
      </c>
      <c r="D280" s="28"/>
      <c r="E280" s="29" t="str">
        <f>IF(H280="","",FIXED(H280,1) &amp; " / " &amp; "50")</f>
        <v>28,0 / 50</v>
      </c>
      <c r="F280" s="28" t="str">
        <f>IF(G280=2,"Réussi",IF(G280=1,"Ajourné",""))</f>
        <v>Réussi</v>
      </c>
      <c r="G280" s="25">
        <v>2</v>
      </c>
      <c r="H280" s="25">
        <v>28</v>
      </c>
    </row>
    <row r="281" spans="1:8" ht="20.65" customHeight="1" x14ac:dyDescent="0.25">
      <c r="A281" s="27"/>
      <c r="B281" s="28" t="s">
        <v>580</v>
      </c>
      <c r="C281" s="28" t="s">
        <v>581</v>
      </c>
      <c r="D281" s="28"/>
      <c r="E281" s="29" t="str">
        <f>IF(H281="","",FIXED(H281,1) &amp; " / " &amp; "50")</f>
        <v>32,0 / 50</v>
      </c>
      <c r="F281" s="28" t="str">
        <f>IF(G281=2,"Réussi",IF(G281=1,"Ajourné",""))</f>
        <v>Réussi</v>
      </c>
      <c r="G281" s="25">
        <v>2</v>
      </c>
      <c r="H281" s="25">
        <v>32</v>
      </c>
    </row>
    <row r="282" spans="1:8" ht="20.65" customHeight="1" x14ac:dyDescent="0.25">
      <c r="A282" s="27"/>
      <c r="B282" s="28" t="s">
        <v>582</v>
      </c>
      <c r="C282" s="28" t="s">
        <v>583</v>
      </c>
      <c r="D282" s="28"/>
      <c r="E282" s="29" t="str">
        <f>IF(H282="","",FIXED(H282,1) &amp; " / " &amp; "50")</f>
        <v>22,0 / 50</v>
      </c>
      <c r="F282" s="28" t="str">
        <f>IF(G282=2,"Réussi",IF(G282=1,"Ajourné",""))</f>
        <v>Ajourné</v>
      </c>
      <c r="G282" s="25">
        <v>1</v>
      </c>
      <c r="H282" s="25">
        <v>22</v>
      </c>
    </row>
    <row r="283" spans="1:8" ht="20.65" customHeight="1" x14ac:dyDescent="0.25">
      <c r="A283" s="27"/>
      <c r="B283" s="28" t="s">
        <v>584</v>
      </c>
      <c r="C283" s="28" t="s">
        <v>585</v>
      </c>
      <c r="D283" s="28"/>
      <c r="E283" s="29" t="str">
        <f>IF(H283="","",FIXED(H283,1) &amp; " / " &amp; "50")</f>
        <v>26,0 / 50</v>
      </c>
      <c r="F283" s="28" t="str">
        <f>IF(G283=2,"Réussi",IF(G283=1,"Ajourné",""))</f>
        <v>Réussi</v>
      </c>
      <c r="G283" s="25">
        <v>2</v>
      </c>
      <c r="H283" s="25">
        <v>26</v>
      </c>
    </row>
    <row r="284" spans="1:8" ht="20.65" customHeight="1" x14ac:dyDescent="0.25">
      <c r="A284" s="27"/>
      <c r="B284" s="28" t="s">
        <v>586</v>
      </c>
      <c r="C284" s="28" t="s">
        <v>587</v>
      </c>
      <c r="D284" s="28"/>
      <c r="E284" s="29" t="str">
        <f>IF(H284="","",FIXED(H284,1) &amp; " / " &amp; "50")</f>
        <v>26,0 / 50</v>
      </c>
      <c r="F284" s="28" t="str">
        <f>IF(G284=2,"Réussi",IF(G284=1,"Ajourné",""))</f>
        <v>Réussi</v>
      </c>
      <c r="G284" s="25">
        <v>2</v>
      </c>
      <c r="H284" s="25">
        <v>26</v>
      </c>
    </row>
    <row r="285" spans="1:8" ht="20.65" customHeight="1" x14ac:dyDescent="0.25">
      <c r="A285" s="27"/>
      <c r="B285" s="28" t="s">
        <v>588</v>
      </c>
      <c r="C285" s="28" t="s">
        <v>589</v>
      </c>
      <c r="D285" s="28"/>
      <c r="E285" s="29" t="str">
        <f>IF(H285="","",FIXED(H285,1) &amp; " / " &amp; "50")</f>
        <v>24,0 / 50</v>
      </c>
      <c r="F285" s="28" t="str">
        <f>IF(G285=2,"Réussi",IF(G285=1,"Ajourné",""))</f>
        <v>Ajourné</v>
      </c>
      <c r="G285" s="25">
        <v>1</v>
      </c>
      <c r="H285" s="25">
        <v>24</v>
      </c>
    </row>
    <row r="286" spans="1:8" ht="20.65" customHeight="1" x14ac:dyDescent="0.25">
      <c r="A286" s="27"/>
      <c r="B286" s="28" t="s">
        <v>590</v>
      </c>
      <c r="C286" s="28" t="s">
        <v>591</v>
      </c>
      <c r="D286" s="28"/>
      <c r="E286" s="29" t="str">
        <f>IF(H286="","",FIXED(H286,1) &amp; " / " &amp; "50")</f>
        <v>32,0 / 50</v>
      </c>
      <c r="F286" s="28" t="str">
        <f>IF(G286=2,"Réussi",IF(G286=1,"Ajourné",""))</f>
        <v>Réussi</v>
      </c>
      <c r="G286" s="25">
        <v>2</v>
      </c>
      <c r="H286" s="25">
        <v>32</v>
      </c>
    </row>
    <row r="287" spans="1:8" ht="20.65" customHeight="1" x14ac:dyDescent="0.25">
      <c r="A287" s="27"/>
      <c r="B287" s="28" t="s">
        <v>592</v>
      </c>
      <c r="C287" s="28" t="s">
        <v>593</v>
      </c>
      <c r="D287" s="28"/>
      <c r="E287" s="29" t="str">
        <f>IF(H287="","",FIXED(H287,1) &amp; " / " &amp; "50")</f>
        <v>30,0 / 50</v>
      </c>
      <c r="F287" s="28" t="str">
        <f>IF(G287=2,"Réussi",IF(G287=1,"Ajourné",""))</f>
        <v>Réussi</v>
      </c>
      <c r="G287" s="25">
        <v>2</v>
      </c>
      <c r="H287" s="25">
        <v>30</v>
      </c>
    </row>
    <row r="288" spans="1:8" ht="20.65" customHeight="1" x14ac:dyDescent="0.25">
      <c r="A288" s="27"/>
      <c r="B288" s="28" t="s">
        <v>594</v>
      </c>
      <c r="C288" s="28" t="s">
        <v>595</v>
      </c>
      <c r="D288" s="28"/>
      <c r="E288" s="29" t="str">
        <f>IF(H288="","",FIXED(H288,1) &amp; " / " &amp; "50")</f>
        <v>26,0 / 50</v>
      </c>
      <c r="F288" s="28" t="str">
        <f>IF(G288=2,"Réussi",IF(G288=1,"Ajourné",""))</f>
        <v>Réussi</v>
      </c>
      <c r="G288" s="25">
        <v>2</v>
      </c>
      <c r="H288" s="25">
        <v>26</v>
      </c>
    </row>
    <row r="289" spans="1:8" ht="20.65" customHeight="1" x14ac:dyDescent="0.25">
      <c r="A289" s="27"/>
      <c r="B289" s="28" t="s">
        <v>596</v>
      </c>
      <c r="C289" s="28" t="s">
        <v>597</v>
      </c>
      <c r="D289" s="28"/>
      <c r="E289" s="29" t="str">
        <f>IF(H289="","",FIXED(H289,1) &amp; " / " &amp; "50")</f>
        <v>30,0 / 50</v>
      </c>
      <c r="F289" s="28" t="str">
        <f>IF(G289=2,"Réussi",IF(G289=1,"Ajourné",""))</f>
        <v>Réussi</v>
      </c>
      <c r="G289" s="25">
        <v>2</v>
      </c>
      <c r="H289" s="25">
        <v>30</v>
      </c>
    </row>
    <row r="290" spans="1:8" ht="20.65" customHeight="1" x14ac:dyDescent="0.25">
      <c r="A290" s="27"/>
      <c r="B290" s="28" t="s">
        <v>598</v>
      </c>
      <c r="C290" s="28" t="s">
        <v>599</v>
      </c>
      <c r="D290" s="28"/>
      <c r="E290" s="29" t="str">
        <f>IF(H290="","",FIXED(H290,1) &amp; " / " &amp; "50")</f>
        <v>28,0 / 50</v>
      </c>
      <c r="F290" s="28" t="str">
        <f>IF(G290=2,"Réussi",IF(G290=1,"Ajourné",""))</f>
        <v>Réussi</v>
      </c>
      <c r="G290" s="25">
        <v>2</v>
      </c>
      <c r="H290" s="25">
        <v>28</v>
      </c>
    </row>
    <row r="291" spans="1:8" ht="20.65" customHeight="1" x14ac:dyDescent="0.25">
      <c r="A291" s="27"/>
      <c r="B291" s="28" t="s">
        <v>600</v>
      </c>
      <c r="C291" s="28" t="s">
        <v>601</v>
      </c>
      <c r="D291" s="28"/>
      <c r="E291" s="29" t="str">
        <f>IF(H291="","",FIXED(H291,1) &amp; " / " &amp; "50")</f>
        <v>28,0 / 50</v>
      </c>
      <c r="F291" s="28" t="str">
        <f>IF(G291=2,"Réussi",IF(G291=1,"Ajourné",""))</f>
        <v>Réussi</v>
      </c>
      <c r="G291" s="25">
        <v>2</v>
      </c>
      <c r="H291" s="25">
        <v>28</v>
      </c>
    </row>
    <row r="292" spans="1:8" ht="20.65" customHeight="1" x14ac:dyDescent="0.25">
      <c r="A292" s="27"/>
      <c r="B292" s="28" t="s">
        <v>602</v>
      </c>
      <c r="C292" s="28" t="s">
        <v>603</v>
      </c>
      <c r="D292" s="28"/>
      <c r="E292" s="29" t="str">
        <f>IF(H292="","",FIXED(H292,1) &amp; " / " &amp; "50")</f>
        <v>30,0 / 50</v>
      </c>
      <c r="F292" s="28" t="str">
        <f>IF(G292=2,"Réussi",IF(G292=1,"Ajourné",""))</f>
        <v>Réussi</v>
      </c>
      <c r="G292" s="25">
        <v>2</v>
      </c>
      <c r="H292" s="25">
        <v>30</v>
      </c>
    </row>
    <row r="293" spans="1:8" ht="20.65" customHeight="1" x14ac:dyDescent="0.25">
      <c r="A293" s="27"/>
      <c r="B293" s="28" t="s">
        <v>604</v>
      </c>
      <c r="C293" s="28" t="s">
        <v>605</v>
      </c>
      <c r="D293" s="28"/>
      <c r="E293" s="29" t="str">
        <f>IF(H293="","",FIXED(H293,1) &amp; " / " &amp; "50")</f>
        <v>32,0 / 50</v>
      </c>
      <c r="F293" s="28" t="str">
        <f>IF(G293=2,"Réussi",IF(G293=1,"Ajourné",""))</f>
        <v>Réussi</v>
      </c>
      <c r="G293" s="25">
        <v>2</v>
      </c>
      <c r="H293" s="25">
        <v>32</v>
      </c>
    </row>
    <row r="294" spans="1:8" ht="20.65" customHeight="1" x14ac:dyDescent="0.25">
      <c r="A294" s="27"/>
      <c r="B294" s="28" t="s">
        <v>606</v>
      </c>
      <c r="C294" s="28" t="s">
        <v>607</v>
      </c>
      <c r="D294" s="28"/>
      <c r="E294" s="29" t="str">
        <f>IF(H294="","",FIXED(H294,1) &amp; " / " &amp; "50")</f>
        <v>30,0 / 50</v>
      </c>
      <c r="F294" s="28" t="str">
        <f>IF(G294=2,"Réussi",IF(G294=1,"Ajourné",""))</f>
        <v>Réussi</v>
      </c>
      <c r="G294" s="25">
        <v>2</v>
      </c>
      <c r="H294" s="25">
        <v>30</v>
      </c>
    </row>
    <row r="295" spans="1:8" ht="20.65" customHeight="1" x14ac:dyDescent="0.25">
      <c r="A295" s="27"/>
      <c r="B295" s="28" t="s">
        <v>608</v>
      </c>
      <c r="C295" s="28" t="s">
        <v>609</v>
      </c>
      <c r="D295" s="28"/>
      <c r="E295" s="29" t="str">
        <f>IF(H295="","",FIXED(H295,1) &amp; " / " &amp; "50")</f>
        <v>24,0 / 50</v>
      </c>
      <c r="F295" s="28" t="str">
        <f>IF(G295=2,"Réussi",IF(G295=1,"Ajourné",""))</f>
        <v>Ajourné</v>
      </c>
      <c r="G295" s="25">
        <v>1</v>
      </c>
      <c r="H295" s="25">
        <v>24</v>
      </c>
    </row>
    <row r="296" spans="1:8" ht="20.65" customHeight="1" x14ac:dyDescent="0.25">
      <c r="A296" s="27"/>
      <c r="B296" s="28" t="s">
        <v>610</v>
      </c>
      <c r="C296" s="28" t="s">
        <v>611</v>
      </c>
      <c r="D296" s="28"/>
      <c r="E296" s="29" t="str">
        <f>IF(H296="","",FIXED(H296,1) &amp; " / " &amp; "50")</f>
        <v>26,0 / 50</v>
      </c>
      <c r="F296" s="28" t="str">
        <f>IF(G296=2,"Réussi",IF(G296=1,"Ajourné",""))</f>
        <v>Réussi</v>
      </c>
      <c r="G296" s="25">
        <v>2</v>
      </c>
      <c r="H296" s="25">
        <v>26</v>
      </c>
    </row>
    <row r="297" spans="1:8" ht="20.65" customHeight="1" x14ac:dyDescent="0.25">
      <c r="A297" s="27"/>
      <c r="B297" s="28" t="s">
        <v>612</v>
      </c>
      <c r="C297" s="28" t="s">
        <v>613</v>
      </c>
      <c r="D297" s="28"/>
      <c r="E297" s="29" t="str">
        <f>IF(H297="","",FIXED(H297,1) &amp; " / " &amp; "50")</f>
        <v>28,0 / 50</v>
      </c>
      <c r="F297" s="28" t="str">
        <f>IF(G297=2,"Réussi",IF(G297=1,"Ajourné",""))</f>
        <v>Réussi</v>
      </c>
      <c r="G297" s="25">
        <v>2</v>
      </c>
      <c r="H297" s="25">
        <v>28</v>
      </c>
    </row>
    <row r="298" spans="1:8" ht="20.65" customHeight="1" x14ac:dyDescent="0.25">
      <c r="A298" s="27"/>
      <c r="B298" s="28" t="s">
        <v>614</v>
      </c>
      <c r="C298" s="28" t="s">
        <v>615</v>
      </c>
      <c r="D298" s="28"/>
      <c r="E298" s="29" t="str">
        <f>IF(H298="","",FIXED(H298,1) &amp; " / " &amp; "50")</f>
        <v>32,0 / 50</v>
      </c>
      <c r="F298" s="28" t="str">
        <f>IF(G298=2,"Réussi",IF(G298=1,"Ajourné",""))</f>
        <v>Réussi</v>
      </c>
      <c r="G298" s="25">
        <v>2</v>
      </c>
      <c r="H298" s="25">
        <v>32</v>
      </c>
    </row>
    <row r="299" spans="1:8" ht="20.65" customHeight="1" x14ac:dyDescent="0.25">
      <c r="A299" s="27"/>
      <c r="B299" s="28" t="s">
        <v>616</v>
      </c>
      <c r="C299" s="28" t="s">
        <v>617</v>
      </c>
      <c r="D299" s="28"/>
      <c r="E299" s="29" t="str">
        <f>IF(H299="","",FIXED(H299,1) &amp; " / " &amp; "50")</f>
        <v>22,0 / 50</v>
      </c>
      <c r="F299" s="28" t="str">
        <f>IF(G299=2,"Réussi",IF(G299=1,"Ajourné",""))</f>
        <v>Ajourné</v>
      </c>
      <c r="G299" s="25">
        <v>1</v>
      </c>
      <c r="H299" s="25">
        <v>22</v>
      </c>
    </row>
    <row r="300" spans="1:8" ht="20.65" customHeight="1" x14ac:dyDescent="0.25">
      <c r="A300" s="27"/>
      <c r="B300" s="28" t="s">
        <v>618</v>
      </c>
      <c r="C300" s="28" t="s">
        <v>619</v>
      </c>
      <c r="D300" s="28"/>
      <c r="E300" s="29" t="str">
        <f>IF(H300="","",FIXED(H300,1) &amp; " / " &amp; "50")</f>
        <v>26,0 / 50</v>
      </c>
      <c r="F300" s="28" t="str">
        <f>IF(G300=2,"Réussi",IF(G300=1,"Ajourné",""))</f>
        <v>Réussi</v>
      </c>
      <c r="G300" s="25">
        <v>2</v>
      </c>
      <c r="H300" s="25">
        <v>26</v>
      </c>
    </row>
    <row r="301" spans="1:8" ht="20.65" customHeight="1" x14ac:dyDescent="0.25">
      <c r="A301" s="27"/>
      <c r="B301" s="28" t="s">
        <v>620</v>
      </c>
      <c r="C301" s="28" t="s">
        <v>621</v>
      </c>
      <c r="D301" s="28"/>
      <c r="E301" s="29" t="str">
        <f>IF(H301="","",FIXED(H301,1) &amp; " / " &amp; "50")</f>
        <v>20,0 / 50</v>
      </c>
      <c r="F301" s="28" t="str">
        <f>IF(G301=2,"Réussi",IF(G301=1,"Ajourné",""))</f>
        <v>Ajourné</v>
      </c>
      <c r="G301" s="25">
        <v>1</v>
      </c>
      <c r="H301" s="25">
        <v>20</v>
      </c>
    </row>
    <row r="302" spans="1:8" ht="20.65" customHeight="1" x14ac:dyDescent="0.25">
      <c r="A302" s="27"/>
      <c r="B302" s="28" t="s">
        <v>622</v>
      </c>
      <c r="C302" s="28" t="s">
        <v>623</v>
      </c>
      <c r="D302" s="28"/>
      <c r="E302" s="29" t="str">
        <f>IF(H302="","",FIXED(H302,1) &amp; " / " &amp; "50")</f>
        <v>24,0 / 50</v>
      </c>
      <c r="F302" s="28" t="str">
        <f>IF(G302=2,"Réussi",IF(G302=1,"Ajourné",""))</f>
        <v>Ajourné</v>
      </c>
      <c r="G302" s="25">
        <v>1</v>
      </c>
      <c r="H302" s="25">
        <v>24</v>
      </c>
    </row>
    <row r="303" spans="1:8" ht="20.65" customHeight="1" x14ac:dyDescent="0.25">
      <c r="A303" s="27"/>
      <c r="B303" s="28" t="s">
        <v>624</v>
      </c>
      <c r="C303" s="28" t="s">
        <v>625</v>
      </c>
      <c r="D303" s="28"/>
      <c r="E303" s="29" t="str">
        <f>IF(H303="","",FIXED(H303,1) &amp; " / " &amp; "50")</f>
        <v>30,0 / 50</v>
      </c>
      <c r="F303" s="28" t="str">
        <f>IF(G303=2,"Réussi",IF(G303=1,"Ajourné",""))</f>
        <v>Réussi</v>
      </c>
      <c r="G303" s="25">
        <v>2</v>
      </c>
      <c r="H303" s="25">
        <v>30</v>
      </c>
    </row>
    <row r="304" spans="1:8" ht="20.65" customHeight="1" x14ac:dyDescent="0.25">
      <c r="A304" s="27"/>
      <c r="B304" s="28" t="s">
        <v>626</v>
      </c>
      <c r="C304" s="28" t="s">
        <v>627</v>
      </c>
      <c r="D304" s="28"/>
      <c r="E304" s="29" t="str">
        <f>IF(H304="","",FIXED(H304,1) &amp; " / " &amp; "50")</f>
        <v>20,0 / 50</v>
      </c>
      <c r="F304" s="28" t="str">
        <f>IF(G304=2,"Réussi",IF(G304=1,"Ajourné",""))</f>
        <v>Ajourné</v>
      </c>
      <c r="G304" s="25">
        <v>1</v>
      </c>
      <c r="H304" s="25">
        <v>20</v>
      </c>
    </row>
    <row r="305" spans="1:8" ht="20.65" customHeight="1" x14ac:dyDescent="0.25">
      <c r="A305" s="27"/>
      <c r="B305" s="28" t="s">
        <v>628</v>
      </c>
      <c r="C305" s="28" t="s">
        <v>629</v>
      </c>
      <c r="D305" s="28"/>
      <c r="E305" s="29" t="str">
        <f>IF(H305="","",FIXED(H305,1) &amp; " / " &amp; "50")</f>
        <v>28,0 / 50</v>
      </c>
      <c r="F305" s="28" t="str">
        <f>IF(G305=2,"Réussi",IF(G305=1,"Ajourné",""))</f>
        <v>Réussi</v>
      </c>
      <c r="G305" s="25">
        <v>2</v>
      </c>
      <c r="H305" s="25">
        <v>28</v>
      </c>
    </row>
    <row r="306" spans="1:8" ht="20.65" customHeight="1" x14ac:dyDescent="0.25">
      <c r="A306" s="27"/>
      <c r="B306" s="28" t="s">
        <v>630</v>
      </c>
      <c r="C306" s="28" t="s">
        <v>631</v>
      </c>
      <c r="D306" s="28"/>
      <c r="E306" s="29" t="str">
        <f>IF(H306="","",FIXED(H306,1) &amp; " / " &amp; "50")</f>
        <v>24,0 / 50</v>
      </c>
      <c r="F306" s="28" t="str">
        <f>IF(G306=2,"Réussi",IF(G306=1,"Ajourné",""))</f>
        <v>Ajourné</v>
      </c>
      <c r="G306" s="25">
        <v>1</v>
      </c>
      <c r="H306" s="25">
        <v>24</v>
      </c>
    </row>
    <row r="307" spans="1:8" ht="20.65" customHeight="1" x14ac:dyDescent="0.25">
      <c r="A307" s="27"/>
      <c r="B307" s="28" t="s">
        <v>632</v>
      </c>
      <c r="C307" s="28" t="s">
        <v>633</v>
      </c>
      <c r="D307" s="28"/>
      <c r="E307" s="29" t="str">
        <f>IF(H307="","",FIXED(H307,1) &amp; " / " &amp; "50")</f>
        <v>26,0 / 50</v>
      </c>
      <c r="F307" s="28" t="str">
        <f>IF(G307=2,"Réussi",IF(G307=1,"Ajourné",""))</f>
        <v>Réussi</v>
      </c>
      <c r="G307" s="25">
        <v>2</v>
      </c>
      <c r="H307" s="25">
        <v>26</v>
      </c>
    </row>
    <row r="308" spans="1:8" ht="20.65" customHeight="1" x14ac:dyDescent="0.25">
      <c r="A308" s="27"/>
      <c r="B308" s="28" t="s">
        <v>634</v>
      </c>
      <c r="C308" s="28" t="s">
        <v>635</v>
      </c>
      <c r="D308" s="28"/>
      <c r="E308" s="29" t="str">
        <f>IF(H308="","",FIXED(H308,1) &amp; " / " &amp; "50")</f>
        <v>26,0 / 50</v>
      </c>
      <c r="F308" s="28" t="str">
        <f>IF(G308=2,"Réussi",IF(G308=1,"Ajourné",""))</f>
        <v>Réussi</v>
      </c>
      <c r="G308" s="25">
        <v>2</v>
      </c>
      <c r="H308" s="25">
        <v>26</v>
      </c>
    </row>
    <row r="309" spans="1:8" ht="20.65" customHeight="1" x14ac:dyDescent="0.25">
      <c r="A309" s="27"/>
      <c r="B309" s="28" t="s">
        <v>636</v>
      </c>
      <c r="C309" s="28" t="s">
        <v>637</v>
      </c>
      <c r="D309" s="28"/>
      <c r="E309" s="29" t="str">
        <f>IF(H309="","",FIXED(H309,1) &amp; " / " &amp; "50")</f>
        <v>22,0 / 50</v>
      </c>
      <c r="F309" s="28" t="str">
        <f>IF(G309=2,"Réussi",IF(G309=1,"Ajourné",""))</f>
        <v>Ajourné</v>
      </c>
      <c r="G309" s="25">
        <v>1</v>
      </c>
      <c r="H309" s="25">
        <v>22</v>
      </c>
    </row>
    <row r="310" spans="1:8" ht="20.65" customHeight="1" x14ac:dyDescent="0.25">
      <c r="A310" s="27"/>
      <c r="B310" s="28" t="s">
        <v>638</v>
      </c>
      <c r="C310" s="28" t="s">
        <v>639</v>
      </c>
      <c r="D310" s="28"/>
      <c r="E310" s="29" t="str">
        <f>IF(H310="","",FIXED(H310,1) &amp; " / " &amp; "50")</f>
        <v>28,0 / 50</v>
      </c>
      <c r="F310" s="28" t="str">
        <f>IF(G310=2,"Réussi",IF(G310=1,"Ajourné",""))</f>
        <v>Réussi</v>
      </c>
      <c r="G310" s="25">
        <v>2</v>
      </c>
      <c r="H310" s="25">
        <v>28</v>
      </c>
    </row>
    <row r="311" spans="1:8" ht="20.65" customHeight="1" x14ac:dyDescent="0.25">
      <c r="A311" s="27"/>
      <c r="B311" s="28" t="s">
        <v>640</v>
      </c>
      <c r="C311" s="28" t="s">
        <v>641</v>
      </c>
      <c r="D311" s="28"/>
      <c r="E311" s="29" t="str">
        <f>IF(H311="","",FIXED(H311,1) &amp; " / " &amp; "50")</f>
        <v>22,0 / 50</v>
      </c>
      <c r="F311" s="28" t="str">
        <f>IF(G311=2,"Réussi",IF(G311=1,"Ajourné",""))</f>
        <v>Ajourné</v>
      </c>
      <c r="G311" s="25">
        <v>1</v>
      </c>
      <c r="H311" s="25">
        <v>22</v>
      </c>
    </row>
    <row r="312" spans="1:8" ht="20.65" customHeight="1" x14ac:dyDescent="0.25">
      <c r="A312" s="27"/>
      <c r="B312" s="28" t="s">
        <v>642</v>
      </c>
      <c r="C312" s="28" t="s">
        <v>643</v>
      </c>
      <c r="D312" s="28"/>
      <c r="E312" s="29" t="str">
        <f>IF(H312="","",FIXED(H312,1) &amp; " / " &amp; "50")</f>
        <v>32,0 / 50</v>
      </c>
      <c r="F312" s="28" t="str">
        <f>IF(G312=2,"Réussi",IF(G312=1,"Ajourné",""))</f>
        <v>Réussi</v>
      </c>
      <c r="G312" s="25">
        <v>2</v>
      </c>
      <c r="H312" s="25">
        <v>32</v>
      </c>
    </row>
    <row r="313" spans="1:8" ht="20.65" customHeight="1" x14ac:dyDescent="0.25">
      <c r="A313" s="27"/>
      <c r="B313" s="28" t="s">
        <v>644</v>
      </c>
      <c r="C313" s="28" t="s">
        <v>645</v>
      </c>
      <c r="D313" s="28"/>
      <c r="E313" s="29" t="str">
        <f>IF(H313="","",FIXED(H313,1) &amp; " / " &amp; "50")</f>
        <v>22,0 / 50</v>
      </c>
      <c r="F313" s="28" t="str">
        <f>IF(G313=2,"Réussi",IF(G313=1,"Ajourné",""))</f>
        <v>Ajourné</v>
      </c>
      <c r="G313" s="25">
        <v>1</v>
      </c>
      <c r="H313" s="25">
        <v>22</v>
      </c>
    </row>
    <row r="314" spans="1:8" ht="20.65" customHeight="1" x14ac:dyDescent="0.25">
      <c r="A314" s="27"/>
      <c r="B314" s="28" t="s">
        <v>646</v>
      </c>
      <c r="C314" s="28" t="s">
        <v>647</v>
      </c>
      <c r="D314" s="28"/>
      <c r="E314" s="29" t="str">
        <f>IF(H314="","",FIXED(H314,1) &amp; " / " &amp; "50")</f>
        <v>34,0 / 50</v>
      </c>
      <c r="F314" s="28" t="str">
        <f>IF(G314=2,"Réussi",IF(G314=1,"Ajourné",""))</f>
        <v>Réussi</v>
      </c>
      <c r="G314" s="25">
        <v>2</v>
      </c>
      <c r="H314" s="25">
        <v>34</v>
      </c>
    </row>
    <row r="315" spans="1:8" ht="20.65" customHeight="1" x14ac:dyDescent="0.25">
      <c r="A315" s="27"/>
      <c r="B315" s="28" t="s">
        <v>648</v>
      </c>
      <c r="C315" s="28" t="s">
        <v>649</v>
      </c>
      <c r="D315" s="28"/>
      <c r="E315" s="29" t="str">
        <f>IF(H315="","",FIXED(H315,1) &amp; " / " &amp; "50")</f>
        <v>34,0 / 50</v>
      </c>
      <c r="F315" s="28" t="str">
        <f>IF(G315=2,"Réussi",IF(G315=1,"Ajourné",""))</f>
        <v>Réussi</v>
      </c>
      <c r="G315" s="25">
        <v>2</v>
      </c>
      <c r="H315" s="25">
        <v>34</v>
      </c>
    </row>
    <row r="316" spans="1:8" ht="1.9" customHeight="1" x14ac:dyDescent="0.25">
      <c r="A316" s="30"/>
      <c r="E316" s="25" t="str">
        <f t="shared" si="0"/>
        <v/>
      </c>
    </row>
    <row r="317" spans="1:8" x14ac:dyDescent="0.25">
      <c r="A317" s="30"/>
    </row>
    <row r="318" spans="1:8" ht="18" customHeight="1" x14ac:dyDescent="0.25">
      <c r="A318" s="27"/>
      <c r="B318" s="45" t="s">
        <v>7</v>
      </c>
      <c r="C318" s="46"/>
      <c r="D318" s="46"/>
      <c r="E318" s="46"/>
      <c r="F318" s="47"/>
    </row>
    <row r="319" spans="1:8" ht="34.15" customHeight="1" x14ac:dyDescent="0.25">
      <c r="A319" s="27"/>
      <c r="B319" s="49" t="str">
        <f>IF(G319=0,"",G319)</f>
        <v/>
      </c>
      <c r="C319" s="50"/>
      <c r="D319" s="50"/>
      <c r="E319" s="50"/>
      <c r="F319" s="51"/>
      <c r="G319" s="31"/>
    </row>
    <row r="320" spans="1:8" x14ac:dyDescent="0.25">
      <c r="A320" s="27"/>
    </row>
    <row r="321" spans="1:1" x14ac:dyDescent="0.25">
      <c r="A321" s="27"/>
    </row>
    <row r="322" spans="1:1" x14ac:dyDescent="0.25">
      <c r="A322" s="27"/>
    </row>
    <row r="323" spans="1:1" x14ac:dyDescent="0.25">
      <c r="A323" s="27"/>
    </row>
    <row r="324" spans="1:1" x14ac:dyDescent="0.25">
      <c r="A324" s="27"/>
    </row>
    <row r="325" spans="1:1" x14ac:dyDescent="0.25">
      <c r="A325" s="27"/>
    </row>
    <row r="326" spans="1:1" x14ac:dyDescent="0.25">
      <c r="A326" s="27"/>
    </row>
    <row r="327" spans="1:1" x14ac:dyDescent="0.25">
      <c r="A327" s="27"/>
    </row>
    <row r="328" spans="1:1" x14ac:dyDescent="0.25">
      <c r="A328" s="27"/>
    </row>
    <row r="329" spans="1:1" x14ac:dyDescent="0.25">
      <c r="A329" s="27"/>
    </row>
    <row r="330" spans="1:1" x14ac:dyDescent="0.25">
      <c r="A330" s="27"/>
    </row>
    <row r="331" spans="1:1" x14ac:dyDescent="0.25">
      <c r="A331" s="27"/>
    </row>
    <row r="332" spans="1:1" x14ac:dyDescent="0.25">
      <c r="A332" s="27"/>
    </row>
    <row r="333" spans="1:1" x14ac:dyDescent="0.25">
      <c r="A333" s="27"/>
    </row>
    <row r="334" spans="1:1" x14ac:dyDescent="0.25">
      <c r="A334" s="27"/>
    </row>
    <row r="335" spans="1:1" x14ac:dyDescent="0.25">
      <c r="A335" s="27"/>
    </row>
    <row r="336" spans="1:1" x14ac:dyDescent="0.25">
      <c r="A336" s="27"/>
    </row>
    <row r="337" spans="1:1" x14ac:dyDescent="0.25">
      <c r="A337" s="27"/>
    </row>
    <row r="338" spans="1:1" x14ac:dyDescent="0.25">
      <c r="A338" s="27"/>
    </row>
    <row r="339" spans="1:1" x14ac:dyDescent="0.25">
      <c r="A339" s="27"/>
    </row>
    <row r="340" spans="1:1" x14ac:dyDescent="0.25">
      <c r="A340" s="27"/>
    </row>
    <row r="341" spans="1:1" x14ac:dyDescent="0.25">
      <c r="A341" s="27"/>
    </row>
    <row r="342" spans="1:1" x14ac:dyDescent="0.25">
      <c r="A342" s="27"/>
    </row>
    <row r="343" spans="1:1" x14ac:dyDescent="0.25">
      <c r="A343" s="27"/>
    </row>
    <row r="344" spans="1:1" x14ac:dyDescent="0.25">
      <c r="A344" s="27"/>
    </row>
    <row r="345" spans="1:1" x14ac:dyDescent="0.25">
      <c r="A345" s="27"/>
    </row>
    <row r="346" spans="1:1" x14ac:dyDescent="0.25">
      <c r="A346" s="27"/>
    </row>
    <row r="347" spans="1:1" x14ac:dyDescent="0.25">
      <c r="A347" s="27"/>
    </row>
    <row r="348" spans="1:1" x14ac:dyDescent="0.25">
      <c r="A348" s="27"/>
    </row>
    <row r="349" spans="1:1" x14ac:dyDescent="0.25">
      <c r="A349" s="27"/>
    </row>
    <row r="350" spans="1:1" x14ac:dyDescent="0.25">
      <c r="A350" s="27"/>
    </row>
    <row r="351" spans="1:1" x14ac:dyDescent="0.25">
      <c r="A351" s="27"/>
    </row>
    <row r="352" spans="1:1" x14ac:dyDescent="0.25">
      <c r="A352" s="27"/>
    </row>
    <row r="353" spans="1:1" x14ac:dyDescent="0.25">
      <c r="A353" s="27"/>
    </row>
    <row r="354" spans="1:1" x14ac:dyDescent="0.25">
      <c r="A354" s="27"/>
    </row>
    <row r="355" spans="1:1" x14ac:dyDescent="0.25">
      <c r="A355" s="27"/>
    </row>
    <row r="356" spans="1:1" x14ac:dyDescent="0.25">
      <c r="A356" s="27"/>
    </row>
    <row r="357" spans="1:1" x14ac:dyDescent="0.25">
      <c r="A357" s="27"/>
    </row>
    <row r="358" spans="1:1" x14ac:dyDescent="0.25">
      <c r="A358" s="27"/>
    </row>
    <row r="359" spans="1:1" x14ac:dyDescent="0.25">
      <c r="A359" s="27"/>
    </row>
    <row r="360" spans="1:1" x14ac:dyDescent="0.25">
      <c r="A360" s="27"/>
    </row>
    <row r="361" spans="1:1" x14ac:dyDescent="0.25">
      <c r="A361" s="27"/>
    </row>
    <row r="362" spans="1:1" x14ac:dyDescent="0.25">
      <c r="A362" s="27"/>
    </row>
    <row r="363" spans="1:1" x14ac:dyDescent="0.25">
      <c r="A363" s="27"/>
    </row>
    <row r="364" spans="1:1" x14ac:dyDescent="0.25">
      <c r="A364" s="27"/>
    </row>
    <row r="365" spans="1:1" x14ac:dyDescent="0.25">
      <c r="A365" s="27"/>
    </row>
    <row r="366" spans="1:1" x14ac:dyDescent="0.25">
      <c r="A366" s="27"/>
    </row>
    <row r="367" spans="1:1" x14ac:dyDescent="0.25">
      <c r="A367" s="27"/>
    </row>
    <row r="368" spans="1:1" x14ac:dyDescent="0.25">
      <c r="A368" s="27"/>
    </row>
    <row r="369" spans="1:1" x14ac:dyDescent="0.25">
      <c r="A369" s="27"/>
    </row>
    <row r="370" spans="1:1" x14ac:dyDescent="0.25">
      <c r="A370" s="27"/>
    </row>
    <row r="371" spans="1:1" x14ac:dyDescent="0.25">
      <c r="A371" s="27"/>
    </row>
    <row r="372" spans="1:1" x14ac:dyDescent="0.25">
      <c r="A372" s="27"/>
    </row>
    <row r="373" spans="1:1" x14ac:dyDescent="0.25">
      <c r="A373" s="27"/>
    </row>
    <row r="374" spans="1:1" x14ac:dyDescent="0.25">
      <c r="A374" s="27"/>
    </row>
    <row r="375" spans="1:1" x14ac:dyDescent="0.25">
      <c r="A375" s="27"/>
    </row>
    <row r="376" spans="1:1" x14ac:dyDescent="0.25">
      <c r="A376" s="27"/>
    </row>
    <row r="377" spans="1:1" x14ac:dyDescent="0.25">
      <c r="A377" s="27"/>
    </row>
    <row r="378" spans="1:1" x14ac:dyDescent="0.25">
      <c r="A378" s="27"/>
    </row>
    <row r="379" spans="1:1" x14ac:dyDescent="0.25">
      <c r="A379" s="27"/>
    </row>
    <row r="380" spans="1:1" x14ac:dyDescent="0.25">
      <c r="A380" s="27"/>
    </row>
    <row r="381" spans="1:1" x14ac:dyDescent="0.25">
      <c r="A381" s="27"/>
    </row>
    <row r="382" spans="1:1" x14ac:dyDescent="0.25">
      <c r="A382" s="27"/>
    </row>
    <row r="383" spans="1:1" x14ac:dyDescent="0.25">
      <c r="A383" s="27"/>
    </row>
    <row r="384" spans="1:1" x14ac:dyDescent="0.25">
      <c r="A384" s="27"/>
    </row>
    <row r="385" spans="1:1" x14ac:dyDescent="0.25">
      <c r="A385" s="27"/>
    </row>
    <row r="386" spans="1:1" x14ac:dyDescent="0.25">
      <c r="A386" s="27"/>
    </row>
    <row r="387" spans="1:1" x14ac:dyDescent="0.25">
      <c r="A387" s="27"/>
    </row>
    <row r="388" spans="1:1" x14ac:dyDescent="0.25">
      <c r="A388" s="27"/>
    </row>
    <row r="389" spans="1:1" x14ac:dyDescent="0.25">
      <c r="A389" s="27"/>
    </row>
    <row r="390" spans="1:1" x14ac:dyDescent="0.25">
      <c r="A390" s="27"/>
    </row>
    <row r="391" spans="1:1" x14ac:dyDescent="0.25">
      <c r="A391" s="27"/>
    </row>
    <row r="392" spans="1:1" x14ac:dyDescent="0.25">
      <c r="A392" s="27"/>
    </row>
    <row r="393" spans="1:1" x14ac:dyDescent="0.25">
      <c r="A393" s="27"/>
    </row>
    <row r="394" spans="1:1" x14ac:dyDescent="0.25">
      <c r="A394" s="27"/>
    </row>
    <row r="395" spans="1:1" x14ac:dyDescent="0.25">
      <c r="A395" s="27"/>
    </row>
    <row r="396" spans="1:1" x14ac:dyDescent="0.25">
      <c r="A396" s="27"/>
    </row>
    <row r="397" spans="1:1" x14ac:dyDescent="0.25">
      <c r="A397" s="27"/>
    </row>
    <row r="398" spans="1:1" x14ac:dyDescent="0.25">
      <c r="A398" s="27"/>
    </row>
    <row r="399" spans="1:1" x14ac:dyDescent="0.25">
      <c r="A399" s="27"/>
    </row>
    <row r="400" spans="1:1" x14ac:dyDescent="0.25">
      <c r="A400" s="27"/>
    </row>
    <row r="401" spans="1:1" x14ac:dyDescent="0.25">
      <c r="A401" s="27"/>
    </row>
    <row r="402" spans="1:1" x14ac:dyDescent="0.25">
      <c r="A402" s="27"/>
    </row>
    <row r="403" spans="1:1" x14ac:dyDescent="0.25">
      <c r="A403" s="27"/>
    </row>
  </sheetData>
  <mergeCells count="5">
    <mergeCell ref="B319:F319"/>
    <mergeCell ref="B9:C10"/>
    <mergeCell ref="D9:D10"/>
    <mergeCell ref="E9:E10"/>
    <mergeCell ref="F9:F10"/>
  </mergeCells>
  <phoneticPr fontId="1" type="noConversion"/>
  <conditionalFormatting sqref="A1:A7 A9 A13:A314 A316:A343">
    <cfRule type="expression" priority="307" stopIfTrue="1">
      <formula>AND(LEFT($A1,6)="Header",COUNTIF($A:$A,"Footer_" &amp; SUBSTITUTE($A1,"Header_",""))=0)</formula>
    </cfRule>
  </conditionalFormatting>
  <conditionalFormatting sqref="D9:D11">
    <cfRule type="expression" dxfId="2" priority="303">
      <formula>$J$10&gt;=60</formula>
    </cfRule>
    <cfRule type="expression" dxfId="1" priority="304">
      <formula>AND($J$10&gt;=40,$J$10&lt;60)</formula>
    </cfRule>
    <cfRule type="expression" dxfId="0" priority="305">
      <formula>$J$10&lt;40</formula>
    </cfRule>
  </conditionalFormatting>
  <conditionalFormatting sqref="A315">
    <cfRule type="expression" priority="1" stopIfTrue="1">
      <formula>AND(LEFT($A315,6)="Header",COUNTIF($A:$A,"Footer_" &amp; SUBSTITUTE($A315,"Header_",""))=0)</formula>
    </cfRule>
  </conditionalFormatting>
  <pageMargins left="0.59055118110236227" right="0.59055118110236227" top="0.59055118110236227" bottom="0.59055118110236227" header="0.51181102362204722" footer="0.51181102362204722"/>
  <pageSetup paperSize="9" scale="99" fitToHeight="0" orientation="portrait" horizontalDpi="4294967293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topLeftCell="B1" zoomScaleNormal="100" workbookViewId="0">
      <selection activeCell="H15" sqref="H15"/>
    </sheetView>
  </sheetViews>
  <sheetFormatPr baseColWidth="10" defaultRowHeight="15.75" x14ac:dyDescent="0.25"/>
  <cols>
    <col min="1" max="1" width="0" style="25" hidden="1" customWidth="1"/>
    <col min="3" max="3" width="12.7109375" bestFit="1" customWidth="1"/>
    <col min="4" max="4" width="16.42578125" bestFit="1" customWidth="1"/>
    <col min="5" max="5" width="23.85546875" customWidth="1"/>
    <col min="6" max="6" width="12.42578125" customWidth="1"/>
    <col min="7" max="7" width="12.85546875" bestFit="1" customWidth="1"/>
  </cols>
  <sheetData>
    <row r="1" spans="1:8" x14ac:dyDescent="0.25">
      <c r="A1" s="33"/>
    </row>
    <row r="2" spans="1:8" x14ac:dyDescent="0.25">
      <c r="H2">
        <v>0.47</v>
      </c>
    </row>
    <row r="3" spans="1:8" x14ac:dyDescent="0.25">
      <c r="A3" s="27"/>
      <c r="B3" t="s">
        <v>46</v>
      </c>
      <c r="C3" t="s">
        <v>47</v>
      </c>
      <c r="E3" t="str">
        <f>B3&amp;" "&amp;C3</f>
        <v>ANGOULOUMOU VOUNSOUMA WEIDOU 22T2463</v>
      </c>
      <c r="F3">
        <v>34</v>
      </c>
      <c r="G3">
        <f>AVERAGE(F:F)</f>
        <v>28.629139072847682</v>
      </c>
      <c r="H3">
        <f>IF(G2="",0.47,H2+1)</f>
        <v>0.47</v>
      </c>
    </row>
    <row r="4" spans="1:8" x14ac:dyDescent="0.25">
      <c r="A4" s="27"/>
      <c r="B4" t="s">
        <v>50</v>
      </c>
      <c r="C4" t="s">
        <v>51</v>
      </c>
      <c r="E4" t="str">
        <f>B4&amp;" "&amp;C4</f>
        <v>KOUOH PROWO ANGE DANIEL 22Q2595</v>
      </c>
      <c r="F4">
        <v>34</v>
      </c>
      <c r="G4">
        <f>AVERAGE(F:F)</f>
        <v>28.629139072847682</v>
      </c>
      <c r="H4">
        <f>IF(G3="",0.47,H3+1)</f>
        <v>1.47</v>
      </c>
    </row>
    <row r="5" spans="1:8" x14ac:dyDescent="0.25">
      <c r="A5" s="27"/>
      <c r="B5" t="s">
        <v>52</v>
      </c>
      <c r="C5" t="s">
        <v>53</v>
      </c>
      <c r="E5" t="str">
        <f>B5&amp;" "&amp;C5</f>
        <v>MAFO OKILI OLIVIA GRACIA 22T2024</v>
      </c>
      <c r="F5">
        <v>32</v>
      </c>
      <c r="G5">
        <f>AVERAGE(F:F)</f>
        <v>28.629139072847682</v>
      </c>
      <c r="H5">
        <f>IF(G4="",0.47,H4+1)</f>
        <v>2.4699999999999998</v>
      </c>
    </row>
    <row r="6" spans="1:8" x14ac:dyDescent="0.25">
      <c r="A6" s="27"/>
      <c r="B6" t="s">
        <v>54</v>
      </c>
      <c r="C6" t="s">
        <v>55</v>
      </c>
      <c r="E6" t="str">
        <f>B6&amp;" "&amp;C6</f>
        <v>ATYAME BOMO ANGE MANUELA 22V2906</v>
      </c>
      <c r="F6">
        <v>36</v>
      </c>
      <c r="G6">
        <f>AVERAGE(F:F)</f>
        <v>28.629139072847682</v>
      </c>
      <c r="H6">
        <f>IF(G5="",0.47,H5+1)</f>
        <v>3.4699999999999998</v>
      </c>
    </row>
    <row r="7" spans="1:8" x14ac:dyDescent="0.25">
      <c r="A7" s="27"/>
      <c r="B7" t="s">
        <v>56</v>
      </c>
      <c r="E7" t="str">
        <f>B7&amp;" "&amp;C7</f>
        <v xml:space="preserve">BOITIER0813 </v>
      </c>
      <c r="F7">
        <v>22</v>
      </c>
      <c r="G7">
        <f>AVERAGE(F:F)</f>
        <v>28.629139072847682</v>
      </c>
      <c r="H7">
        <f>IF(G6="",0.47,H6+1)</f>
        <v>4.47</v>
      </c>
    </row>
    <row r="8" spans="1:8" x14ac:dyDescent="0.25">
      <c r="A8" s="27"/>
      <c r="B8" t="s">
        <v>57</v>
      </c>
      <c r="C8" t="s">
        <v>58</v>
      </c>
      <c r="E8" t="str">
        <f>B8&amp;" "&amp;C8</f>
        <v>MBARGA ANNE SANDRA 22N2105</v>
      </c>
      <c r="F8">
        <v>16</v>
      </c>
      <c r="G8">
        <f>AVERAGE(F:F)</f>
        <v>28.629139072847682</v>
      </c>
      <c r="H8">
        <f>IF(G7="",0.47,H7+1)</f>
        <v>5.47</v>
      </c>
    </row>
    <row r="9" spans="1:8" x14ac:dyDescent="0.25">
      <c r="A9" s="27"/>
      <c r="B9" t="s">
        <v>59</v>
      </c>
      <c r="C9" t="s">
        <v>60</v>
      </c>
      <c r="E9" t="str">
        <f>B9&amp;" "&amp;C9</f>
        <v>MICHAËL MBAINAIMOU REOUTAR 22U2539</v>
      </c>
      <c r="F9">
        <v>30</v>
      </c>
      <c r="G9">
        <f>AVERAGE(F:F)</f>
        <v>28.629139072847682</v>
      </c>
      <c r="H9">
        <f>IF(G8="",0.47,H8+1)</f>
        <v>6.47</v>
      </c>
    </row>
    <row r="10" spans="1:8" x14ac:dyDescent="0.25">
      <c r="A10" s="27"/>
      <c r="B10" t="s">
        <v>61</v>
      </c>
      <c r="C10" t="s">
        <v>62</v>
      </c>
      <c r="E10" t="str">
        <f>B10&amp;" "&amp;C10</f>
        <v>MAKALKAZINA ALLANGVOUNANG JOSEPH 21S2434</v>
      </c>
      <c r="F10">
        <v>32</v>
      </c>
      <c r="G10">
        <f>AVERAGE(F:F)</f>
        <v>28.629139072847682</v>
      </c>
      <c r="H10">
        <f>IF(G9="",0.47,H9+1)</f>
        <v>7.47</v>
      </c>
    </row>
    <row r="11" spans="1:8" x14ac:dyDescent="0.25">
      <c r="A11" s="27"/>
      <c r="B11" t="s">
        <v>63</v>
      </c>
      <c r="C11" t="s">
        <v>64</v>
      </c>
      <c r="E11" t="str">
        <f>B11&amp;" "&amp;C11</f>
        <v>MOULIOM PEMBORA ROUFEYDA 22O2205</v>
      </c>
      <c r="F11">
        <v>28</v>
      </c>
      <c r="G11">
        <f>AVERAGE(F:F)</f>
        <v>28.629139072847682</v>
      </c>
      <c r="H11">
        <f>IF(G10="",0.47,H10+1)</f>
        <v>8.4699999999999989</v>
      </c>
    </row>
    <row r="12" spans="1:8" x14ac:dyDescent="0.25">
      <c r="A12" s="27"/>
      <c r="B12" t="s">
        <v>65</v>
      </c>
      <c r="C12" t="s">
        <v>66</v>
      </c>
      <c r="E12" t="str">
        <f>B12&amp;" "&amp;C12</f>
        <v>DAYA NYAMGWE NICAISE DANIELLE 22O2796</v>
      </c>
      <c r="F12">
        <v>28</v>
      </c>
      <c r="G12">
        <f>AVERAGE(F:F)</f>
        <v>28.629139072847682</v>
      </c>
      <c r="H12">
        <f>IF(G11="",0.47,H11+1)</f>
        <v>9.4699999999999989</v>
      </c>
    </row>
    <row r="13" spans="1:8" x14ac:dyDescent="0.25">
      <c r="A13" s="27"/>
      <c r="B13" t="s">
        <v>67</v>
      </c>
      <c r="C13" t="s">
        <v>68</v>
      </c>
      <c r="E13" t="str">
        <f>B13&amp;" "&amp;C13</f>
        <v>DEMANOU FOUEDJEU RUTH ESPERANCE 22O2166</v>
      </c>
      <c r="F13">
        <v>32</v>
      </c>
      <c r="G13">
        <f>AVERAGE(F:F)</f>
        <v>28.629139072847682</v>
      </c>
      <c r="H13">
        <f>IF(G12="",0.47,H12+1)</f>
        <v>10.469999999999999</v>
      </c>
    </row>
    <row r="14" spans="1:8" x14ac:dyDescent="0.25">
      <c r="A14" s="27"/>
      <c r="B14" t="s">
        <v>69</v>
      </c>
      <c r="C14" t="s">
        <v>70</v>
      </c>
      <c r="E14" t="str">
        <f>B14&amp;" "&amp;C14</f>
        <v>GUIMDO TSAFACK MALCOM DONAL 22Q2912</v>
      </c>
      <c r="F14">
        <v>32</v>
      </c>
      <c r="G14">
        <f>AVERAGE(F:F)</f>
        <v>28.629139072847682</v>
      </c>
      <c r="H14">
        <f>IF(G13="",0.47,H13+1)</f>
        <v>11.469999999999999</v>
      </c>
    </row>
    <row r="15" spans="1:8" x14ac:dyDescent="0.25">
      <c r="A15" s="27"/>
      <c r="B15" t="s">
        <v>71</v>
      </c>
      <c r="C15" t="s">
        <v>72</v>
      </c>
      <c r="E15" t="str">
        <f>B15&amp;" "&amp;C15</f>
        <v>KOLONA SALINA SYLVAIN 22U2470</v>
      </c>
      <c r="F15">
        <v>28</v>
      </c>
      <c r="G15">
        <f>AVERAGE(F:F)</f>
        <v>28.629139072847682</v>
      </c>
      <c r="H15">
        <f>IF(G14="",0.47,H14+1)</f>
        <v>12.469999999999999</v>
      </c>
    </row>
    <row r="16" spans="1:8" x14ac:dyDescent="0.25">
      <c r="A16" s="27"/>
      <c r="B16" t="s">
        <v>73</v>
      </c>
      <c r="C16" t="s">
        <v>74</v>
      </c>
      <c r="E16" t="str">
        <f>B16&amp;" "&amp;C16</f>
        <v>DAPSIA KANU ELISEE 22T2490</v>
      </c>
      <c r="F16">
        <v>38</v>
      </c>
      <c r="G16">
        <f>AVERAGE(F:F)</f>
        <v>28.629139072847682</v>
      </c>
      <c r="H16">
        <f>IF(G15="",0.47,H15+1)</f>
        <v>13.469999999999999</v>
      </c>
    </row>
    <row r="17" spans="1:8" x14ac:dyDescent="0.25">
      <c r="A17" s="27"/>
      <c r="B17" t="s">
        <v>75</v>
      </c>
      <c r="C17" t="s">
        <v>76</v>
      </c>
      <c r="E17" t="str">
        <f>B17&amp;" "&amp;C17</f>
        <v>ESSONO MENYOU LEONCE MARILYN 22V2586</v>
      </c>
      <c r="F17">
        <v>22</v>
      </c>
      <c r="G17">
        <f>AVERAGE(F:F)</f>
        <v>28.629139072847682</v>
      </c>
      <c r="H17">
        <f>IF(G16="",0.47,H16+1)</f>
        <v>14.469999999999999</v>
      </c>
    </row>
    <row r="18" spans="1:8" x14ac:dyDescent="0.25">
      <c r="A18" s="27"/>
      <c r="B18" t="s">
        <v>77</v>
      </c>
      <c r="C18" t="s">
        <v>78</v>
      </c>
      <c r="E18" t="str">
        <f>B18&amp;" "&amp;C18</f>
        <v>DIEFOUO-DJIMDIE BILIOS-DEVIS 22N2543</v>
      </c>
      <c r="F18">
        <v>28</v>
      </c>
      <c r="G18">
        <f>AVERAGE(F:F)</f>
        <v>28.629139072847682</v>
      </c>
      <c r="H18">
        <f>IF(G17="",0.47,H17+1)</f>
        <v>15.469999999999999</v>
      </c>
    </row>
    <row r="19" spans="1:8" x14ac:dyDescent="0.25">
      <c r="A19" s="27"/>
      <c r="B19" t="s">
        <v>79</v>
      </c>
      <c r="C19" t="s">
        <v>80</v>
      </c>
      <c r="E19" t="str">
        <f>B19&amp;" "&amp;C19</f>
        <v>DADI CHRISTOPHE 22T2201</v>
      </c>
      <c r="F19">
        <v>30</v>
      </c>
      <c r="G19">
        <f>AVERAGE(F:F)</f>
        <v>28.629139072847682</v>
      </c>
      <c r="H19">
        <f>IF(G18="",0.47,H18+1)</f>
        <v>16.47</v>
      </c>
    </row>
    <row r="20" spans="1:8" x14ac:dyDescent="0.25">
      <c r="A20" s="27"/>
      <c r="B20" t="s">
        <v>81</v>
      </c>
      <c r="C20" t="s">
        <v>82</v>
      </c>
      <c r="E20" t="str">
        <f>B20&amp;" "&amp;C20</f>
        <v>AMOUGOU AKOA NOEL CHRISTIAN 22L2851</v>
      </c>
      <c r="F20">
        <v>30</v>
      </c>
      <c r="G20">
        <f>AVERAGE(F:F)</f>
        <v>28.629139072847682</v>
      </c>
      <c r="H20">
        <f>IF(G19="",0.47,H19+1)</f>
        <v>17.47</v>
      </c>
    </row>
    <row r="21" spans="1:8" x14ac:dyDescent="0.25">
      <c r="A21" s="27"/>
      <c r="B21" t="s">
        <v>83</v>
      </c>
      <c r="C21" t="s">
        <v>84</v>
      </c>
      <c r="E21" t="str">
        <f>B21&amp;" "&amp;C21</f>
        <v>ABDOULAYE ADOUM YOUSSOUF 22K2959</v>
      </c>
      <c r="F21">
        <v>28</v>
      </c>
      <c r="G21">
        <f>AVERAGE(F:F)</f>
        <v>28.629139072847682</v>
      </c>
      <c r="H21">
        <f>IF(G20="",0.47,H20+1)</f>
        <v>18.47</v>
      </c>
    </row>
    <row r="22" spans="1:8" x14ac:dyDescent="0.25">
      <c r="A22" s="27"/>
      <c r="B22" t="s">
        <v>85</v>
      </c>
      <c r="C22" t="s">
        <v>86</v>
      </c>
      <c r="E22" t="str">
        <f>B22&amp;" "&amp;C22</f>
        <v>BITEP II LUC FLOBERT FREDY 22Q2976</v>
      </c>
      <c r="F22">
        <v>18</v>
      </c>
      <c r="G22">
        <f>AVERAGE(F:F)</f>
        <v>28.629139072847682</v>
      </c>
      <c r="H22">
        <f>IF(G21="",0.47,H21+1)</f>
        <v>19.47</v>
      </c>
    </row>
    <row r="23" spans="1:8" x14ac:dyDescent="0.25">
      <c r="A23" s="27"/>
      <c r="B23" t="s">
        <v>87</v>
      </c>
      <c r="C23" t="s">
        <v>88</v>
      </c>
      <c r="E23" t="str">
        <f>B23&amp;" "&amp;C23</f>
        <v>LEKA SANDRINE BIBONO 22S2084</v>
      </c>
      <c r="F23">
        <v>30</v>
      </c>
      <c r="G23">
        <f>AVERAGE(F:F)</f>
        <v>28.629139072847682</v>
      </c>
      <c r="H23">
        <f>IF(G22="",0.47,H22+1)</f>
        <v>20.47</v>
      </c>
    </row>
    <row r="24" spans="1:8" x14ac:dyDescent="0.25">
      <c r="A24" s="27"/>
      <c r="B24" t="s">
        <v>89</v>
      </c>
      <c r="C24" t="s">
        <v>90</v>
      </c>
      <c r="E24" t="str">
        <f>B24&amp;" "&amp;C24</f>
        <v>BELINGA MFOUMOU PAULIN URIEL 22S2873</v>
      </c>
      <c r="F24">
        <v>24</v>
      </c>
      <c r="G24">
        <f>AVERAGE(F:F)</f>
        <v>28.629139072847682</v>
      </c>
      <c r="H24">
        <f>IF(G23="",0.47,H23+1)</f>
        <v>21.47</v>
      </c>
    </row>
    <row r="25" spans="1:8" x14ac:dyDescent="0.25">
      <c r="A25" s="27"/>
      <c r="B25" t="s">
        <v>91</v>
      </c>
      <c r="C25" t="s">
        <v>92</v>
      </c>
      <c r="E25" t="str">
        <f>B25&amp;" "&amp;C25</f>
        <v>MOUSTAPHA DAOUD MEHADINE 22V2176</v>
      </c>
      <c r="F25">
        <v>30</v>
      </c>
      <c r="G25">
        <f>AVERAGE(F:F)</f>
        <v>28.629139072847682</v>
      </c>
      <c r="H25">
        <f>IF(G24="",0.47,H24+1)</f>
        <v>22.47</v>
      </c>
    </row>
    <row r="26" spans="1:8" x14ac:dyDescent="0.25">
      <c r="A26" s="27"/>
      <c r="B26" t="s">
        <v>93</v>
      </c>
      <c r="C26" t="s">
        <v>94</v>
      </c>
      <c r="E26" t="str">
        <f>B26&amp;" "&amp;C26</f>
        <v>BIG-BILL PROCORD ESSONO NGUEMA 22R2486</v>
      </c>
      <c r="F26">
        <v>28</v>
      </c>
      <c r="G26">
        <f>AVERAGE(F:F)</f>
        <v>28.629139072847682</v>
      </c>
      <c r="H26">
        <f>IF(G25="",0.47,H25+1)</f>
        <v>23.47</v>
      </c>
    </row>
    <row r="27" spans="1:8" x14ac:dyDescent="0.25">
      <c r="A27" s="27"/>
      <c r="B27" t="s">
        <v>95</v>
      </c>
      <c r="C27" t="s">
        <v>96</v>
      </c>
      <c r="E27" t="str">
        <f>B27&amp;" "&amp;C27</f>
        <v>MEMANA ESSOLA MICHELLE 22O2046</v>
      </c>
      <c r="F27">
        <v>28</v>
      </c>
      <c r="G27">
        <f>AVERAGE(F:F)</f>
        <v>28.629139072847682</v>
      </c>
      <c r="H27">
        <f>IF(G26="",0.47,H26+1)</f>
        <v>24.47</v>
      </c>
    </row>
    <row r="28" spans="1:8" x14ac:dyDescent="0.25">
      <c r="A28" s="27"/>
      <c r="B28" t="s">
        <v>97</v>
      </c>
      <c r="C28" t="s">
        <v>98</v>
      </c>
      <c r="E28" t="str">
        <f>B28&amp;" "&amp;C28</f>
        <v>ADA NDZANA CHRISTINE FLORA 21Q2841</v>
      </c>
      <c r="F28">
        <v>20</v>
      </c>
      <c r="G28">
        <f>AVERAGE(F:F)</f>
        <v>28.629139072847682</v>
      </c>
      <c r="H28">
        <f>IF(G27="",0.47,H27+1)</f>
        <v>25.47</v>
      </c>
    </row>
    <row r="29" spans="1:8" x14ac:dyDescent="0.25">
      <c r="A29" s="27"/>
      <c r="B29" t="s">
        <v>99</v>
      </c>
      <c r="C29" t="s">
        <v>100</v>
      </c>
      <c r="E29" t="str">
        <f>B29&amp;" "&amp;C29</f>
        <v>BIPA III BARBARA MARIE 22T2007</v>
      </c>
      <c r="F29">
        <v>24</v>
      </c>
      <c r="G29">
        <f>AVERAGE(F:F)</f>
        <v>28.629139072847682</v>
      </c>
      <c r="H29">
        <f>IF(G28="",0.47,H28+1)</f>
        <v>26.47</v>
      </c>
    </row>
    <row r="30" spans="1:8" x14ac:dyDescent="0.25">
      <c r="A30" s="27"/>
      <c r="B30" t="s">
        <v>101</v>
      </c>
      <c r="C30" t="s">
        <v>102</v>
      </c>
      <c r="E30" t="str">
        <f>B30&amp;" "&amp;C30</f>
        <v>MEGANKAM NZODJO YOLANDE GERALDINE 22S2330</v>
      </c>
      <c r="F30">
        <v>34</v>
      </c>
      <c r="G30">
        <f>AVERAGE(F:F)</f>
        <v>28.629139072847682</v>
      </c>
      <c r="H30">
        <f>IF(G29="",0.47,H29+1)</f>
        <v>27.47</v>
      </c>
    </row>
    <row r="31" spans="1:8" x14ac:dyDescent="0.25">
      <c r="A31" s="27"/>
      <c r="B31" t="s">
        <v>103</v>
      </c>
      <c r="C31" t="s">
        <v>104</v>
      </c>
      <c r="E31" t="str">
        <f>B31&amp;" "&amp;C31</f>
        <v>JOLIO MELI CHIVAROLE 22K2895</v>
      </c>
      <c r="F31">
        <v>20</v>
      </c>
      <c r="G31">
        <f>AVERAGE(F:F)</f>
        <v>28.629139072847682</v>
      </c>
      <c r="H31">
        <f>IF(G30="",0.47,H30+1)</f>
        <v>28.47</v>
      </c>
    </row>
    <row r="32" spans="1:8" x14ac:dyDescent="0.25">
      <c r="A32" s="27"/>
      <c r="B32" t="s">
        <v>105</v>
      </c>
      <c r="C32" t="s">
        <v>106</v>
      </c>
      <c r="E32" t="str">
        <f>B32&amp;" "&amp;C32</f>
        <v>BEMELINGUINE OHOUO ZAVERIE PRISCA 22K2733</v>
      </c>
      <c r="F32">
        <v>32</v>
      </c>
      <c r="G32">
        <f>AVERAGE(F:F)</f>
        <v>28.629139072847682</v>
      </c>
      <c r="H32">
        <f>IF(G31="",0.47,H31+1)</f>
        <v>29.47</v>
      </c>
    </row>
    <row r="33" spans="1:8" x14ac:dyDescent="0.25">
      <c r="A33" s="27"/>
      <c r="B33" t="s">
        <v>107</v>
      </c>
      <c r="C33" t="s">
        <v>108</v>
      </c>
      <c r="E33" t="str">
        <f>B33&amp;" "&amp;C33</f>
        <v>MALON GARCON 22U2545</v>
      </c>
      <c r="F33">
        <v>34</v>
      </c>
      <c r="G33">
        <f>AVERAGE(F:F)</f>
        <v>28.629139072847682</v>
      </c>
      <c r="H33">
        <f>IF(G32="",0.47,H32+1)</f>
        <v>30.47</v>
      </c>
    </row>
    <row r="34" spans="1:8" x14ac:dyDescent="0.25">
      <c r="A34" s="27"/>
      <c r="B34" t="s">
        <v>109</v>
      </c>
      <c r="C34" t="s">
        <v>110</v>
      </c>
      <c r="E34" t="str">
        <f>B34&amp;" "&amp;C34</f>
        <v>BOUBAKARY DANNA 22S2299</v>
      </c>
      <c r="F34">
        <v>36</v>
      </c>
      <c r="G34">
        <f>AVERAGE(F:F)</f>
        <v>28.629139072847682</v>
      </c>
      <c r="H34">
        <f>IF(G33="",0.47,H33+1)</f>
        <v>31.47</v>
      </c>
    </row>
    <row r="35" spans="1:8" x14ac:dyDescent="0.25">
      <c r="A35" s="27"/>
      <c r="B35" t="s">
        <v>111</v>
      </c>
      <c r="C35" t="s">
        <v>112</v>
      </c>
      <c r="E35" t="str">
        <f>B35&amp;" "&amp;C35</f>
        <v>ALBECHIR ALKHALI ALHAFIZ 22U2833</v>
      </c>
      <c r="F35">
        <v>32</v>
      </c>
      <c r="G35">
        <f>AVERAGE(F:F)</f>
        <v>28.629139072847682</v>
      </c>
      <c r="H35">
        <f>IF(G34="",0.47,H34+1)</f>
        <v>32.47</v>
      </c>
    </row>
    <row r="36" spans="1:8" x14ac:dyDescent="0.25">
      <c r="A36" s="27"/>
      <c r="B36" t="s">
        <v>113</v>
      </c>
      <c r="C36" t="s">
        <v>114</v>
      </c>
      <c r="E36" t="str">
        <f>B36&amp;" "&amp;C36</f>
        <v>AISSATOU ABDOULAYE 22O2065</v>
      </c>
      <c r="F36">
        <v>26</v>
      </c>
      <c r="G36">
        <f>AVERAGE(F:F)</f>
        <v>28.629139072847682</v>
      </c>
      <c r="H36">
        <f>IF(G35="",0.47,H35+1)</f>
        <v>33.47</v>
      </c>
    </row>
    <row r="37" spans="1:8" x14ac:dyDescent="0.25">
      <c r="A37" s="27"/>
      <c r="B37" t="s">
        <v>115</v>
      </c>
      <c r="C37" t="s">
        <v>116</v>
      </c>
      <c r="E37" t="str">
        <f>B37&amp;" "&amp;C37</f>
        <v>MENGUENE ETEME STEVE  19A2194</v>
      </c>
      <c r="F37">
        <v>30</v>
      </c>
      <c r="G37">
        <f>AVERAGE(F:F)</f>
        <v>28.629139072847682</v>
      </c>
      <c r="H37">
        <f>IF(G36="",0.47,H36+1)</f>
        <v>34.47</v>
      </c>
    </row>
    <row r="38" spans="1:8" x14ac:dyDescent="0.25">
      <c r="A38" s="27"/>
      <c r="B38" t="s">
        <v>117</v>
      </c>
      <c r="C38" t="s">
        <v>118</v>
      </c>
      <c r="E38" t="str">
        <f>B38&amp;" "&amp;C38</f>
        <v>BEUFOUTCHAM SINYABE ARNAUD 22K2813</v>
      </c>
      <c r="F38">
        <v>28</v>
      </c>
      <c r="G38">
        <f>AVERAGE(F:F)</f>
        <v>28.629139072847682</v>
      </c>
      <c r="H38">
        <f>IF(G37="",0.47,H37+1)</f>
        <v>35.47</v>
      </c>
    </row>
    <row r="39" spans="1:8" x14ac:dyDescent="0.25">
      <c r="A39" s="27"/>
      <c r="B39" t="s">
        <v>119</v>
      </c>
      <c r="C39" t="s">
        <v>120</v>
      </c>
      <c r="E39" t="str">
        <f>B39&amp;" "&amp;C39</f>
        <v>IAMSU LEUMADJEU LUCRESSE 22S2424</v>
      </c>
      <c r="F39">
        <v>34</v>
      </c>
      <c r="G39">
        <f>AVERAGE(F:F)</f>
        <v>28.629139072847682</v>
      </c>
      <c r="H39">
        <f>IF(G38="",0.47,H38+1)</f>
        <v>36.47</v>
      </c>
    </row>
    <row r="40" spans="1:8" x14ac:dyDescent="0.25">
      <c r="A40" s="27"/>
      <c r="B40" t="s">
        <v>121</v>
      </c>
      <c r="C40" t="s">
        <v>122</v>
      </c>
      <c r="E40" t="str">
        <f>B40&amp;" "&amp;C40</f>
        <v>DOAW MANUELLA  20R2903</v>
      </c>
      <c r="F40">
        <v>32</v>
      </c>
      <c r="G40">
        <f>AVERAGE(F:F)</f>
        <v>28.629139072847682</v>
      </c>
      <c r="H40">
        <f>IF(G39="",0.47,H39+1)</f>
        <v>37.47</v>
      </c>
    </row>
    <row r="41" spans="1:8" x14ac:dyDescent="0.25">
      <c r="A41" s="27"/>
      <c r="B41" t="s">
        <v>123</v>
      </c>
      <c r="C41" t="s">
        <v>124</v>
      </c>
      <c r="E41" t="str">
        <f>B41&amp;" "&amp;C41</f>
        <v>BOULIA OBILA YVANNA 22K2832</v>
      </c>
      <c r="F41">
        <v>30</v>
      </c>
      <c r="G41">
        <f>AVERAGE(F:F)</f>
        <v>28.629139072847682</v>
      </c>
      <c r="H41">
        <f>IF(G40="",0.47,H40+1)</f>
        <v>38.47</v>
      </c>
    </row>
    <row r="42" spans="1:8" x14ac:dyDescent="0.25">
      <c r="A42" s="27"/>
      <c r="B42" t="s">
        <v>125</v>
      </c>
      <c r="C42" t="s">
        <v>126</v>
      </c>
      <c r="E42" t="str">
        <f>B42&amp;" "&amp;C42</f>
        <v>DJATCHEU NZEUKOU GWLADYS LAURE 22T2362</v>
      </c>
      <c r="F42">
        <v>34</v>
      </c>
      <c r="G42">
        <f>AVERAGE(F:F)</f>
        <v>28.629139072847682</v>
      </c>
      <c r="H42">
        <f>IF(G41="",0.47,H41+1)</f>
        <v>39.47</v>
      </c>
    </row>
    <row r="43" spans="1:8" x14ac:dyDescent="0.25">
      <c r="A43" s="27"/>
      <c r="B43" t="s">
        <v>127</v>
      </c>
      <c r="C43" t="s">
        <v>128</v>
      </c>
      <c r="E43" t="str">
        <f>B43&amp;" "&amp;C43</f>
        <v>MVELE ZAMA ROSALIE DAREINE 22O2806</v>
      </c>
      <c r="F43">
        <v>26</v>
      </c>
      <c r="G43">
        <f>AVERAGE(F:F)</f>
        <v>28.629139072847682</v>
      </c>
      <c r="H43">
        <f>IF(G42="",0.47,H42+1)</f>
        <v>40.47</v>
      </c>
    </row>
    <row r="44" spans="1:8" x14ac:dyDescent="0.25">
      <c r="A44" s="27"/>
      <c r="B44" t="s">
        <v>129</v>
      </c>
      <c r="C44" t="s">
        <v>130</v>
      </c>
      <c r="E44" t="str">
        <f>B44&amp;" "&amp;C44</f>
        <v>EZECHIEL NOHRA LA VICTOIRE 21N2732</v>
      </c>
      <c r="F44">
        <v>32</v>
      </c>
      <c r="G44">
        <f>AVERAGE(F:F)</f>
        <v>28.629139072847682</v>
      </c>
      <c r="H44">
        <f>IF(G43="",0.47,H43+1)</f>
        <v>41.47</v>
      </c>
    </row>
    <row r="45" spans="1:8" x14ac:dyDescent="0.25">
      <c r="A45" s="27"/>
      <c r="B45" t="s">
        <v>131</v>
      </c>
      <c r="C45" t="s">
        <v>132</v>
      </c>
      <c r="E45" t="str">
        <f>B45&amp;" "&amp;C45</f>
        <v>KOPYEP SEUTCHIE JUNIE 22T2649</v>
      </c>
      <c r="F45">
        <v>30</v>
      </c>
      <c r="G45">
        <f>AVERAGE(F:F)</f>
        <v>28.629139072847682</v>
      </c>
      <c r="H45">
        <f>IF(G44="",0.47,H44+1)</f>
        <v>42.47</v>
      </c>
    </row>
    <row r="46" spans="1:8" x14ac:dyDescent="0.25">
      <c r="A46" s="27"/>
      <c r="B46" t="s">
        <v>133</v>
      </c>
      <c r="C46" t="s">
        <v>134</v>
      </c>
      <c r="E46" t="str">
        <f>B46&amp;" "&amp;C46</f>
        <v>DZOJEU SOKAMTE JOVIAL ARNAUD 22L2753</v>
      </c>
      <c r="F46">
        <v>20</v>
      </c>
      <c r="G46">
        <f>AVERAGE(F:F)</f>
        <v>28.629139072847682</v>
      </c>
      <c r="H46">
        <f>IF(G45="",0.47,H45+1)</f>
        <v>43.47</v>
      </c>
    </row>
    <row r="47" spans="1:8" x14ac:dyDescent="0.25">
      <c r="A47" s="27"/>
      <c r="B47" t="s">
        <v>135</v>
      </c>
      <c r="C47" t="s">
        <v>136</v>
      </c>
      <c r="E47" t="str">
        <f>B47&amp;" "&amp;C47</f>
        <v>KAMGA ANGE MYRIAM 22N2650</v>
      </c>
      <c r="F47">
        <v>30</v>
      </c>
      <c r="G47">
        <f>AVERAGE(F:F)</f>
        <v>28.629139072847682</v>
      </c>
      <c r="H47">
        <f>IF(G46="",0.47,H46+1)</f>
        <v>44.47</v>
      </c>
    </row>
    <row r="48" spans="1:8" x14ac:dyDescent="0.25">
      <c r="A48" s="27"/>
      <c r="B48" t="s">
        <v>137</v>
      </c>
      <c r="C48" t="s">
        <v>138</v>
      </c>
      <c r="E48" t="str">
        <f>B48&amp;" "&amp;C48</f>
        <v>BAHANE YOLANDE 22K2698</v>
      </c>
      <c r="F48">
        <v>28</v>
      </c>
      <c r="G48">
        <f>AVERAGE(F:F)</f>
        <v>28.629139072847682</v>
      </c>
      <c r="H48">
        <f>IF(G47="",0.47,H47+1)</f>
        <v>45.47</v>
      </c>
    </row>
    <row r="49" spans="1:8" x14ac:dyDescent="0.25">
      <c r="A49" s="27"/>
      <c r="B49" t="s">
        <v>139</v>
      </c>
      <c r="C49" t="s">
        <v>140</v>
      </c>
      <c r="E49" t="str">
        <f>B49&amp;" "&amp;C49</f>
        <v>BELIBI JEAN BAPTISTE 21L2431</v>
      </c>
      <c r="F49">
        <v>16</v>
      </c>
      <c r="G49">
        <f>AVERAGE(F:F)</f>
        <v>28.629139072847682</v>
      </c>
      <c r="H49">
        <f>IF(G48="",0.47,H48+1)</f>
        <v>46.47</v>
      </c>
    </row>
    <row r="50" spans="1:8" x14ac:dyDescent="0.25">
      <c r="A50" s="27"/>
      <c r="B50" t="s">
        <v>141</v>
      </c>
      <c r="C50" t="s">
        <v>142</v>
      </c>
      <c r="E50" t="str">
        <f>B50&amp;" "&amp;C50</f>
        <v>BAYANG DOUNIA CELESTIN 22K2303</v>
      </c>
      <c r="F50">
        <v>32</v>
      </c>
      <c r="G50">
        <f>AVERAGE(F:F)</f>
        <v>28.629139072847682</v>
      </c>
      <c r="H50">
        <f>IF(G49="",0.47,H49+1)</f>
        <v>47.47</v>
      </c>
    </row>
    <row r="51" spans="1:8" x14ac:dyDescent="0.25">
      <c r="A51" s="27"/>
      <c r="B51" t="s">
        <v>143</v>
      </c>
      <c r="C51" t="s">
        <v>144</v>
      </c>
      <c r="E51" t="str">
        <f>B51&amp;" "&amp;C51</f>
        <v>DJIMADOUM DJINGAMLAR 22T2754</v>
      </c>
      <c r="F51">
        <v>34</v>
      </c>
      <c r="G51">
        <f>AVERAGE(F:F)</f>
        <v>28.629139072847682</v>
      </c>
      <c r="H51">
        <f>IF(G50="",0.47,H50+1)</f>
        <v>48.47</v>
      </c>
    </row>
    <row r="52" spans="1:8" x14ac:dyDescent="0.25">
      <c r="A52" s="27"/>
      <c r="B52" t="s">
        <v>145</v>
      </c>
      <c r="C52" t="s">
        <v>146</v>
      </c>
      <c r="E52" t="str">
        <f>B52&amp;" "&amp;C52</f>
        <v>EKONDE EUNICE SERAKH 22S2814</v>
      </c>
      <c r="F52">
        <v>30</v>
      </c>
      <c r="G52">
        <f>AVERAGE(F:F)</f>
        <v>28.629139072847682</v>
      </c>
      <c r="H52">
        <f>IF(G51="",0.47,H51+1)</f>
        <v>49.47</v>
      </c>
    </row>
    <row r="53" spans="1:8" x14ac:dyDescent="0.25">
      <c r="A53" s="27"/>
      <c r="B53" t="s">
        <v>147</v>
      </c>
      <c r="C53" t="s">
        <v>148</v>
      </c>
      <c r="E53" t="str">
        <f>B53&amp;" "&amp;C53</f>
        <v>MBAÏHODJI DJESSANDJIM OSEE 22U2607</v>
      </c>
      <c r="F53">
        <v>18</v>
      </c>
      <c r="G53">
        <f>AVERAGE(F:F)</f>
        <v>28.629139072847682</v>
      </c>
      <c r="H53">
        <f>IF(G52="",0.47,H52+1)</f>
        <v>50.47</v>
      </c>
    </row>
    <row r="54" spans="1:8" x14ac:dyDescent="0.25">
      <c r="A54" s="27"/>
      <c r="B54" t="s">
        <v>149</v>
      </c>
      <c r="C54" t="s">
        <v>150</v>
      </c>
      <c r="E54" t="str">
        <f>B54&amp;" "&amp;C54</f>
        <v xml:space="preserve">ABDELBASSI BALLE TABOYE  </v>
      </c>
      <c r="F54">
        <v>30</v>
      </c>
      <c r="G54">
        <f>AVERAGE(F:F)</f>
        <v>28.629139072847682</v>
      </c>
      <c r="H54">
        <f>IF(G53="",0.47,H53+1)</f>
        <v>51.47</v>
      </c>
    </row>
    <row r="55" spans="1:8" x14ac:dyDescent="0.25">
      <c r="A55" s="27"/>
      <c r="B55" t="s">
        <v>151</v>
      </c>
      <c r="C55" t="s">
        <v>152</v>
      </c>
      <c r="E55" t="str">
        <f>B55&amp;" "&amp;C55</f>
        <v>GWET MATIP ANGE SAMY 22K2237</v>
      </c>
      <c r="F55">
        <v>30</v>
      </c>
      <c r="G55">
        <f>AVERAGE(F:F)</f>
        <v>28.629139072847682</v>
      </c>
      <c r="H55">
        <f>IF(G54="",0.47,H54+1)</f>
        <v>52.47</v>
      </c>
    </row>
    <row r="56" spans="1:8" x14ac:dyDescent="0.25">
      <c r="A56" s="27"/>
      <c r="B56" t="s">
        <v>153</v>
      </c>
      <c r="C56" t="s">
        <v>154</v>
      </c>
      <c r="E56" t="str">
        <f>B56&amp;" "&amp;C56</f>
        <v>MAMADOU DJIMET 22T2626</v>
      </c>
      <c r="F56">
        <v>32</v>
      </c>
      <c r="G56">
        <f>AVERAGE(F:F)</f>
        <v>28.629139072847682</v>
      </c>
      <c r="H56">
        <f>IF(G55="",0.47,H55+1)</f>
        <v>53.47</v>
      </c>
    </row>
    <row r="57" spans="1:8" x14ac:dyDescent="0.25">
      <c r="A57" s="27"/>
      <c r="B57" t="s">
        <v>155</v>
      </c>
      <c r="C57" t="s">
        <v>156</v>
      </c>
      <c r="E57" t="str">
        <f>B57&amp;" "&amp;C57</f>
        <v>BREKMO MATHIEU 22S2859</v>
      </c>
      <c r="F57">
        <v>22</v>
      </c>
      <c r="G57">
        <f>AVERAGE(F:F)</f>
        <v>28.629139072847682</v>
      </c>
      <c r="H57">
        <f>IF(G56="",0.47,H56+1)</f>
        <v>54.47</v>
      </c>
    </row>
    <row r="58" spans="1:8" x14ac:dyDescent="0.25">
      <c r="A58" s="27"/>
      <c r="B58" t="s">
        <v>157</v>
      </c>
      <c r="C58" t="s">
        <v>158</v>
      </c>
      <c r="E58" t="str">
        <f>B58&amp;" "&amp;C58</f>
        <v>MONGO NYETAM FLORA LESLY M. 22N2205</v>
      </c>
      <c r="F58">
        <v>30</v>
      </c>
      <c r="G58">
        <f>AVERAGE(F:F)</f>
        <v>28.629139072847682</v>
      </c>
      <c r="H58">
        <f>IF(G57="",0.47,H57+1)</f>
        <v>55.47</v>
      </c>
    </row>
    <row r="59" spans="1:8" x14ac:dyDescent="0.25">
      <c r="A59" s="27"/>
      <c r="B59" t="s">
        <v>159</v>
      </c>
      <c r="C59" t="s">
        <v>160</v>
      </c>
      <c r="E59" t="str">
        <f>B59&amp;" "&amp;C59</f>
        <v>ESSIMI MOLO JEAN JOEL 22O2952</v>
      </c>
      <c r="F59">
        <v>30</v>
      </c>
      <c r="G59">
        <f>AVERAGE(F:F)</f>
        <v>28.629139072847682</v>
      </c>
      <c r="H59">
        <f>IF(G58="",0.47,H58+1)</f>
        <v>56.47</v>
      </c>
    </row>
    <row r="60" spans="1:8" x14ac:dyDescent="0.25">
      <c r="A60" s="27"/>
      <c r="B60" t="s">
        <v>161</v>
      </c>
      <c r="C60" t="s">
        <v>162</v>
      </c>
      <c r="E60" t="str">
        <f>B60&amp;" "&amp;C60</f>
        <v>AKAMBA BRENDA COLLINS 22N2341</v>
      </c>
      <c r="F60">
        <v>32</v>
      </c>
      <c r="G60">
        <f>AVERAGE(F:F)</f>
        <v>28.629139072847682</v>
      </c>
      <c r="H60">
        <f>IF(G59="",0.47,H59+1)</f>
        <v>57.47</v>
      </c>
    </row>
    <row r="61" spans="1:8" x14ac:dyDescent="0.25">
      <c r="A61" s="27"/>
      <c r="B61" t="s">
        <v>163</v>
      </c>
      <c r="C61" t="s">
        <v>164</v>
      </c>
      <c r="E61" t="str">
        <f>B61&amp;" "&amp;C61</f>
        <v>MENDANDI HOULIBELE  20N2438</v>
      </c>
      <c r="F61">
        <v>24</v>
      </c>
      <c r="G61">
        <f>AVERAGE(F:F)</f>
        <v>28.629139072847682</v>
      </c>
      <c r="H61">
        <f>IF(G60="",0.47,H60+1)</f>
        <v>58.47</v>
      </c>
    </row>
    <row r="62" spans="1:8" x14ac:dyDescent="0.25">
      <c r="A62" s="27"/>
      <c r="B62" t="s">
        <v>165</v>
      </c>
      <c r="C62" t="s">
        <v>166</v>
      </c>
      <c r="E62" t="str">
        <f>B62&amp;" "&amp;C62</f>
        <v>JEDJOU KEPGANG IDYL 22L2477</v>
      </c>
      <c r="F62">
        <v>30</v>
      </c>
      <c r="G62">
        <f>AVERAGE(F:F)</f>
        <v>28.629139072847682</v>
      </c>
      <c r="H62">
        <f>IF(G61="",0.47,H61+1)</f>
        <v>59.47</v>
      </c>
    </row>
    <row r="63" spans="1:8" x14ac:dyDescent="0.25">
      <c r="A63" s="27"/>
      <c r="B63" t="s">
        <v>167</v>
      </c>
      <c r="C63" t="s">
        <v>168</v>
      </c>
      <c r="E63" t="str">
        <f>B63&amp;" "&amp;C63</f>
        <v>ADJAP ELANGA DIMITRY ROUSSEAU 21L2608</v>
      </c>
      <c r="F63">
        <v>26</v>
      </c>
      <c r="G63">
        <f>AVERAGE(F:F)</f>
        <v>28.629139072847682</v>
      </c>
      <c r="H63">
        <f>IF(G62="",0.47,H62+1)</f>
        <v>60.47</v>
      </c>
    </row>
    <row r="64" spans="1:8" x14ac:dyDescent="0.25">
      <c r="A64" s="27"/>
      <c r="B64" t="s">
        <v>169</v>
      </c>
      <c r="C64" t="s">
        <v>170</v>
      </c>
      <c r="E64" t="str">
        <f>B64&amp;" "&amp;C64</f>
        <v>APOUMA MORELLE 22K2370</v>
      </c>
      <c r="F64">
        <v>32</v>
      </c>
      <c r="G64">
        <f>AVERAGE(F:F)</f>
        <v>28.629139072847682</v>
      </c>
      <c r="H64">
        <f>IF(G63="",0.47,H63+1)</f>
        <v>61.47</v>
      </c>
    </row>
    <row r="65" spans="1:8" x14ac:dyDescent="0.25">
      <c r="A65" s="27"/>
      <c r="B65" t="s">
        <v>171</v>
      </c>
      <c r="C65" t="s">
        <v>172</v>
      </c>
      <c r="E65" t="str">
        <f>B65&amp;" "&amp;C65</f>
        <v>BAYANG VOULOUMDI LEONARD 20T2737</v>
      </c>
      <c r="F65">
        <v>30</v>
      </c>
      <c r="G65">
        <f>AVERAGE(F:F)</f>
        <v>28.629139072847682</v>
      </c>
      <c r="H65">
        <f>IF(G64="",0.47,H64+1)</f>
        <v>62.47</v>
      </c>
    </row>
    <row r="66" spans="1:8" x14ac:dyDescent="0.25">
      <c r="A66" s="27"/>
      <c r="B66" t="s">
        <v>173</v>
      </c>
      <c r="C66" t="s">
        <v>174</v>
      </c>
      <c r="E66" t="str">
        <f>B66&amp;" "&amp;C66</f>
        <v>BELLO KAMDEM ADAMOU 22Q2866</v>
      </c>
      <c r="F66">
        <v>24</v>
      </c>
      <c r="G66">
        <f>AVERAGE(F:F)</f>
        <v>28.629139072847682</v>
      </c>
      <c r="H66">
        <f>IF(G65="",0.47,H65+1)</f>
        <v>63.47</v>
      </c>
    </row>
    <row r="67" spans="1:8" x14ac:dyDescent="0.25">
      <c r="A67" s="27"/>
      <c r="B67" t="s">
        <v>175</v>
      </c>
      <c r="C67" t="s">
        <v>176</v>
      </c>
      <c r="E67" t="str">
        <f>B67&amp;" "&amp;C67</f>
        <v>BOUTY BELACK SYNTICHE LETICIA 22L2786</v>
      </c>
      <c r="F67">
        <v>32</v>
      </c>
      <c r="G67">
        <f>AVERAGE(F:F)</f>
        <v>28.629139072847682</v>
      </c>
      <c r="H67">
        <f>IF(G66="",0.47,H66+1)</f>
        <v>64.47</v>
      </c>
    </row>
    <row r="68" spans="1:8" x14ac:dyDescent="0.25">
      <c r="A68" s="27"/>
      <c r="B68" t="s">
        <v>177</v>
      </c>
      <c r="C68" t="s">
        <v>178</v>
      </c>
      <c r="E68" t="str">
        <f>B68&amp;" "&amp;C68</f>
        <v>IBRAHIM MAHAMAT ABDOULAYE 22T2031</v>
      </c>
      <c r="F68">
        <v>22</v>
      </c>
      <c r="G68">
        <f>AVERAGE(F:F)</f>
        <v>28.629139072847682</v>
      </c>
      <c r="H68">
        <f>IF(G67="",0.47,H67+1)</f>
        <v>65.47</v>
      </c>
    </row>
    <row r="69" spans="1:8" x14ac:dyDescent="0.25">
      <c r="A69" s="27"/>
      <c r="B69" t="s">
        <v>179</v>
      </c>
      <c r="C69" t="s">
        <v>180</v>
      </c>
      <c r="E69" t="str">
        <f>B69&amp;" "&amp;C69</f>
        <v>KONOULIONE WOUAFFO  21L2511</v>
      </c>
      <c r="F69">
        <v>24</v>
      </c>
      <c r="G69">
        <f>AVERAGE(F:F)</f>
        <v>28.629139072847682</v>
      </c>
      <c r="H69">
        <f>IF(G68="",0.47,H68+1)</f>
        <v>66.47</v>
      </c>
    </row>
    <row r="70" spans="1:8" x14ac:dyDescent="0.25">
      <c r="A70" s="27"/>
      <c r="B70" t="s">
        <v>181</v>
      </c>
      <c r="C70" t="s">
        <v>182</v>
      </c>
      <c r="E70" t="str">
        <f>B70&amp;" "&amp;C70</f>
        <v>ABDOULAYE DJIDDA DANNA 22W2291</v>
      </c>
      <c r="F70">
        <v>32</v>
      </c>
      <c r="G70">
        <f>AVERAGE(F:F)</f>
        <v>28.629139072847682</v>
      </c>
      <c r="H70">
        <f>IF(G69="",0.47,H69+1)</f>
        <v>67.47</v>
      </c>
    </row>
    <row r="71" spans="1:8" x14ac:dyDescent="0.25">
      <c r="A71" s="27"/>
      <c r="B71" t="s">
        <v>183</v>
      </c>
      <c r="C71" t="s">
        <v>184</v>
      </c>
      <c r="E71" t="str">
        <f>B71&amp;" "&amp;C71</f>
        <v>AYANG DANKREO ELIE 22K2838</v>
      </c>
      <c r="F71">
        <v>28</v>
      </c>
      <c r="G71">
        <f>AVERAGE(F:F)</f>
        <v>28.629139072847682</v>
      </c>
      <c r="H71">
        <f>IF(G70="",0.47,H70+1)</f>
        <v>68.47</v>
      </c>
    </row>
    <row r="72" spans="1:8" x14ac:dyDescent="0.25">
      <c r="A72" s="27"/>
      <c r="B72" t="s">
        <v>185</v>
      </c>
      <c r="C72" t="s">
        <v>186</v>
      </c>
      <c r="E72" t="str">
        <f>B72&amp;" "&amp;C72</f>
        <v>MINKOMA MBATA ARMANDE CARNEL 22L2939</v>
      </c>
      <c r="F72">
        <v>24</v>
      </c>
      <c r="G72">
        <f>AVERAGE(F:F)</f>
        <v>28.629139072847682</v>
      </c>
      <c r="H72">
        <f>IF(G71="",0.47,H71+1)</f>
        <v>69.47</v>
      </c>
    </row>
    <row r="73" spans="1:8" x14ac:dyDescent="0.25">
      <c r="A73" s="27"/>
      <c r="B73" t="s">
        <v>187</v>
      </c>
      <c r="C73" t="s">
        <v>188</v>
      </c>
      <c r="E73" t="str">
        <f>B73&amp;" "&amp;C73</f>
        <v>MANDENG ELISABETH CARLA LESLIE 22R2632</v>
      </c>
      <c r="F73">
        <v>26</v>
      </c>
      <c r="G73">
        <f>AVERAGE(F:F)</f>
        <v>28.629139072847682</v>
      </c>
      <c r="H73">
        <f>IF(G72="",0.47,H72+1)</f>
        <v>70.47</v>
      </c>
    </row>
    <row r="74" spans="1:8" x14ac:dyDescent="0.25">
      <c r="A74" s="27"/>
      <c r="B74" t="s">
        <v>189</v>
      </c>
      <c r="C74" t="s">
        <v>190</v>
      </c>
      <c r="E74" t="str">
        <f>B74&amp;" "&amp;C74</f>
        <v>DEUNON DJINET 22S2683</v>
      </c>
      <c r="F74">
        <v>30</v>
      </c>
      <c r="G74">
        <f>AVERAGE(F:F)</f>
        <v>28.629139072847682</v>
      </c>
      <c r="H74">
        <f>IF(G73="",0.47,H73+1)</f>
        <v>71.47</v>
      </c>
    </row>
    <row r="75" spans="1:8" x14ac:dyDescent="0.25">
      <c r="A75" s="27"/>
      <c r="B75" t="s">
        <v>191</v>
      </c>
      <c r="C75" t="s">
        <v>192</v>
      </c>
      <c r="E75" t="str">
        <f>B75&amp;" "&amp;C75</f>
        <v>DJIFACK NGUETSACK JORES IVAN 22N2101</v>
      </c>
      <c r="F75">
        <v>34</v>
      </c>
      <c r="G75">
        <f>AVERAGE(F:F)</f>
        <v>28.629139072847682</v>
      </c>
      <c r="H75">
        <f>IF(G74="",0.47,H74+1)</f>
        <v>72.47</v>
      </c>
    </row>
    <row r="76" spans="1:8" x14ac:dyDescent="0.25">
      <c r="A76" s="27"/>
      <c r="B76" t="s">
        <v>193</v>
      </c>
      <c r="C76" t="s">
        <v>194</v>
      </c>
      <c r="E76" t="str">
        <f>B76&amp;" "&amp;C76</f>
        <v>MBALLA ABOH LETICIA AUDREY 22T2655</v>
      </c>
      <c r="F76">
        <v>32</v>
      </c>
      <c r="G76">
        <f>AVERAGE(F:F)</f>
        <v>28.629139072847682</v>
      </c>
      <c r="H76">
        <f>IF(G75="",0.47,H75+1)</f>
        <v>73.47</v>
      </c>
    </row>
    <row r="77" spans="1:8" x14ac:dyDescent="0.25">
      <c r="A77" s="27"/>
      <c r="B77" t="s">
        <v>195</v>
      </c>
      <c r="C77" t="s">
        <v>196</v>
      </c>
      <c r="E77" t="str">
        <f>B77&amp;" "&amp;C77</f>
        <v>MASSALA TAOSSAM EDOUARD 21N2077</v>
      </c>
      <c r="F77">
        <v>32</v>
      </c>
      <c r="G77">
        <f>AVERAGE(F:F)</f>
        <v>28.629139072847682</v>
      </c>
      <c r="H77">
        <f>IF(G76="",0.47,H76+1)</f>
        <v>74.47</v>
      </c>
    </row>
    <row r="78" spans="1:8" x14ac:dyDescent="0.25">
      <c r="A78" s="27"/>
      <c r="B78" t="s">
        <v>197</v>
      </c>
      <c r="C78" t="s">
        <v>198</v>
      </c>
      <c r="E78" t="str">
        <f>B78&amp;" "&amp;C78</f>
        <v>LIHAN ELEANORE NICAISE 21N2404</v>
      </c>
      <c r="F78">
        <v>32</v>
      </c>
      <c r="G78">
        <f>AVERAGE(F:F)</f>
        <v>28.629139072847682</v>
      </c>
      <c r="H78">
        <f>IF(G77="",0.47,H77+1)</f>
        <v>75.47</v>
      </c>
    </row>
    <row r="79" spans="1:8" x14ac:dyDescent="0.25">
      <c r="A79" s="27"/>
      <c r="B79" t="s">
        <v>199</v>
      </c>
      <c r="C79" t="s">
        <v>200</v>
      </c>
      <c r="E79" t="str">
        <f>B79&amp;" "&amp;C79</f>
        <v>BAPOUNG LAOUNG 22V2941</v>
      </c>
      <c r="F79">
        <v>34</v>
      </c>
      <c r="G79">
        <f>AVERAGE(F:F)</f>
        <v>28.629139072847682</v>
      </c>
      <c r="H79">
        <f>IF(G78="",0.47,H78+1)</f>
        <v>76.47</v>
      </c>
    </row>
    <row r="80" spans="1:8" x14ac:dyDescent="0.25">
      <c r="A80" s="27"/>
      <c r="B80" t="s">
        <v>201</v>
      </c>
      <c r="C80" t="s">
        <v>202</v>
      </c>
      <c r="E80" t="str">
        <f>B80&amp;" "&amp;C80</f>
        <v>ETOUNDI PASCAL ARNAULD 22O2041</v>
      </c>
      <c r="F80">
        <v>24</v>
      </c>
      <c r="G80">
        <f>AVERAGE(F:F)</f>
        <v>28.629139072847682</v>
      </c>
      <c r="H80">
        <f>IF(G79="",0.47,H79+1)</f>
        <v>77.47</v>
      </c>
    </row>
    <row r="81" spans="1:8" x14ac:dyDescent="0.25">
      <c r="A81" s="27"/>
      <c r="B81" t="s">
        <v>203</v>
      </c>
      <c r="E81" t="str">
        <f>B81&amp;" "&amp;C81</f>
        <v xml:space="preserve">BOITIER0940 </v>
      </c>
      <c r="F81">
        <v>24</v>
      </c>
      <c r="G81">
        <f>AVERAGE(F:F)</f>
        <v>28.629139072847682</v>
      </c>
      <c r="H81">
        <f>IF(G80="",0.47,H80+1)</f>
        <v>78.47</v>
      </c>
    </row>
    <row r="82" spans="1:8" x14ac:dyDescent="0.25">
      <c r="A82" s="27"/>
      <c r="B82" t="s">
        <v>204</v>
      </c>
      <c r="C82" t="s">
        <v>205</v>
      </c>
      <c r="E82" t="str">
        <f>B82&amp;" "&amp;C82</f>
        <v>ESSOMBA BALLA CLAUDE  21N2046</v>
      </c>
      <c r="F82">
        <v>24</v>
      </c>
      <c r="G82">
        <f>AVERAGE(F:F)</f>
        <v>28.629139072847682</v>
      </c>
      <c r="H82">
        <f>IF(G81="",0.47,H81+1)</f>
        <v>79.47</v>
      </c>
    </row>
    <row r="83" spans="1:8" x14ac:dyDescent="0.25">
      <c r="A83" s="27"/>
      <c r="B83" t="s">
        <v>206</v>
      </c>
      <c r="C83" t="s">
        <v>207</v>
      </c>
      <c r="E83" t="str">
        <f>B83&amp;" "&amp;C83</f>
        <v>AZEMFACK NGUEDONG BRUXELLES EWERTHON 22K2951</v>
      </c>
      <c r="F83">
        <v>28</v>
      </c>
      <c r="G83">
        <f>AVERAGE(F:F)</f>
        <v>28.629139072847682</v>
      </c>
      <c r="H83">
        <f>IF(G82="",0.47,H82+1)</f>
        <v>80.47</v>
      </c>
    </row>
    <row r="84" spans="1:8" x14ac:dyDescent="0.25">
      <c r="A84" s="27"/>
      <c r="B84" t="s">
        <v>208</v>
      </c>
      <c r="C84" t="s">
        <v>209</v>
      </c>
      <c r="E84" t="str">
        <f>B84&amp;" "&amp;C84</f>
        <v>MAGNE TOCHE TATIANA 19C2681</v>
      </c>
      <c r="F84">
        <v>32</v>
      </c>
      <c r="G84">
        <f>AVERAGE(F:F)</f>
        <v>28.629139072847682</v>
      </c>
      <c r="H84">
        <f>IF(G83="",0.47,H83+1)</f>
        <v>81.47</v>
      </c>
    </row>
    <row r="85" spans="1:8" x14ac:dyDescent="0.25">
      <c r="A85" s="27"/>
      <c r="B85" t="s">
        <v>210</v>
      </c>
      <c r="C85" t="s">
        <v>211</v>
      </c>
      <c r="E85" t="str">
        <f>B85&amp;" "&amp;C85</f>
        <v>ANDELA OLONGO SIDONIE HILARY 22Q2042</v>
      </c>
      <c r="F85">
        <v>26</v>
      </c>
      <c r="G85">
        <f>AVERAGE(F:F)</f>
        <v>28.629139072847682</v>
      </c>
      <c r="H85">
        <f>IF(G84="",0.47,H84+1)</f>
        <v>82.47</v>
      </c>
    </row>
    <row r="86" spans="1:8" x14ac:dyDescent="0.25">
      <c r="A86" s="27"/>
      <c r="B86" t="s">
        <v>212</v>
      </c>
      <c r="C86" t="s">
        <v>213</v>
      </c>
      <c r="E86" t="str">
        <f>B86&amp;" "&amp;C86</f>
        <v>BIKOND EVELYNE JOELLE 22L2146</v>
      </c>
      <c r="F86">
        <v>34</v>
      </c>
      <c r="G86">
        <f>AVERAGE(F:F)</f>
        <v>28.629139072847682</v>
      </c>
      <c r="H86">
        <f>IF(G85="",0.47,H85+1)</f>
        <v>83.47</v>
      </c>
    </row>
    <row r="87" spans="1:8" x14ac:dyDescent="0.25">
      <c r="A87" s="27"/>
      <c r="B87" t="s">
        <v>214</v>
      </c>
      <c r="C87" t="s">
        <v>215</v>
      </c>
      <c r="E87" t="str">
        <f>B87&amp;" "&amp;C87</f>
        <v>DAVY KARL ADJOMO 22N2336</v>
      </c>
      <c r="F87">
        <v>32</v>
      </c>
      <c r="G87">
        <f>AVERAGE(F:F)</f>
        <v>28.629139072847682</v>
      </c>
      <c r="H87">
        <f>IF(G86="",0.47,H86+1)</f>
        <v>84.47</v>
      </c>
    </row>
    <row r="88" spans="1:8" x14ac:dyDescent="0.25">
      <c r="A88" s="27"/>
      <c r="B88" t="s">
        <v>216</v>
      </c>
      <c r="C88" t="s">
        <v>217</v>
      </c>
      <c r="E88" t="str">
        <f>B88&amp;" "&amp;C88</f>
        <v>ELANGA HORNELA JUSLEINE 22S2782</v>
      </c>
      <c r="F88">
        <v>36</v>
      </c>
      <c r="G88">
        <f>AVERAGE(F:F)</f>
        <v>28.629139072847682</v>
      </c>
      <c r="H88">
        <f>IF(G87="",0.47,H87+1)</f>
        <v>85.47</v>
      </c>
    </row>
    <row r="89" spans="1:8" x14ac:dyDescent="0.25">
      <c r="A89" s="27"/>
      <c r="B89" t="s">
        <v>218</v>
      </c>
      <c r="C89" t="s">
        <v>219</v>
      </c>
      <c r="E89" t="str">
        <f>B89&amp;" "&amp;C89</f>
        <v>KENGNE KAMSAP PRINCE-RICANEL 22Q2554</v>
      </c>
      <c r="F89">
        <v>34</v>
      </c>
      <c r="G89">
        <f>AVERAGE(F:F)</f>
        <v>28.629139072847682</v>
      </c>
      <c r="H89">
        <f>IF(G88="",0.47,H88+1)</f>
        <v>86.47</v>
      </c>
    </row>
    <row r="90" spans="1:8" x14ac:dyDescent="0.25">
      <c r="A90" s="27"/>
      <c r="B90" t="s">
        <v>220</v>
      </c>
      <c r="C90" t="s">
        <v>221</v>
      </c>
      <c r="E90" t="str">
        <f>B90&amp;" "&amp;C90</f>
        <v>BABONG GOGBELE FELIX 22L2930</v>
      </c>
      <c r="F90">
        <v>24</v>
      </c>
      <c r="G90">
        <f>AVERAGE(F:F)</f>
        <v>28.629139072847682</v>
      </c>
      <c r="H90">
        <f>IF(G89="",0.47,H89+1)</f>
        <v>87.47</v>
      </c>
    </row>
    <row r="91" spans="1:8" x14ac:dyDescent="0.25">
      <c r="A91" s="27"/>
      <c r="B91" t="s">
        <v>222</v>
      </c>
      <c r="C91" t="s">
        <v>223</v>
      </c>
      <c r="E91" t="str">
        <f>B91&amp;" "&amp;C91</f>
        <v>BENGONO BENGONO BONIFACE VITAL 22Q2385</v>
      </c>
      <c r="F91">
        <v>30</v>
      </c>
      <c r="G91">
        <f>AVERAGE(F:F)</f>
        <v>28.629139072847682</v>
      </c>
      <c r="H91">
        <f>IF(G90="",0.47,H90+1)</f>
        <v>88.47</v>
      </c>
    </row>
    <row r="92" spans="1:8" x14ac:dyDescent="0.25">
      <c r="A92" s="27"/>
      <c r="B92" t="s">
        <v>224</v>
      </c>
      <c r="C92" t="s">
        <v>225</v>
      </c>
      <c r="E92" t="str">
        <f>B92&amp;" "&amp;C92</f>
        <v>EBOH EKOUMA GLADYS 22N2108</v>
      </c>
      <c r="F92">
        <v>26</v>
      </c>
      <c r="G92">
        <f>AVERAGE(F:F)</f>
        <v>28.629139072847682</v>
      </c>
      <c r="H92">
        <f>IF(G91="",0.47,H91+1)</f>
        <v>89.47</v>
      </c>
    </row>
    <row r="93" spans="1:8" x14ac:dyDescent="0.25">
      <c r="A93" s="27"/>
      <c r="B93" t="s">
        <v>226</v>
      </c>
      <c r="C93" t="s">
        <v>227</v>
      </c>
      <c r="E93" t="str">
        <f>B93&amp;" "&amp;C93</f>
        <v>ENYEGUE ONANA CLOTILDE DIANE 22L2097</v>
      </c>
      <c r="F93">
        <v>28</v>
      </c>
      <c r="G93">
        <f>AVERAGE(F:F)</f>
        <v>28.629139072847682</v>
      </c>
      <c r="H93">
        <f>IF(G92="",0.47,H92+1)</f>
        <v>90.47</v>
      </c>
    </row>
    <row r="94" spans="1:8" x14ac:dyDescent="0.25">
      <c r="A94" s="27"/>
      <c r="B94" t="s">
        <v>228</v>
      </c>
      <c r="C94" t="s">
        <v>229</v>
      </c>
      <c r="E94" t="str">
        <f>B94&amp;" "&amp;C94</f>
        <v>EBONO TSIMI  20K2972</v>
      </c>
      <c r="F94">
        <v>40</v>
      </c>
      <c r="G94">
        <f>AVERAGE(F:F)</f>
        <v>28.629139072847682</v>
      </c>
      <c r="H94">
        <f>IF(G93="",0.47,H93+1)</f>
        <v>91.47</v>
      </c>
    </row>
    <row r="95" spans="1:8" x14ac:dyDescent="0.25">
      <c r="A95" s="27"/>
      <c r="B95" t="s">
        <v>230</v>
      </c>
      <c r="C95" t="s">
        <v>231</v>
      </c>
      <c r="E95" t="str">
        <f>B95&amp;" "&amp;C95</f>
        <v>MENYE OHANA CELINE  19U2404</v>
      </c>
      <c r="F95">
        <v>30</v>
      </c>
      <c r="G95">
        <f>AVERAGE(F:F)</f>
        <v>28.629139072847682</v>
      </c>
      <c r="H95">
        <f>IF(G94="",0.47,H94+1)</f>
        <v>92.47</v>
      </c>
    </row>
    <row r="96" spans="1:8" x14ac:dyDescent="0.25">
      <c r="A96" s="27"/>
      <c r="B96" t="s">
        <v>232</v>
      </c>
      <c r="C96" t="s">
        <v>233</v>
      </c>
      <c r="E96" t="str">
        <f>B96&amp;" "&amp;C96</f>
        <v>MBOUA NKOT MBOUA ACHILLE LEGRAND 22T2608</v>
      </c>
      <c r="F96">
        <v>34</v>
      </c>
      <c r="G96">
        <f>AVERAGE(F:F)</f>
        <v>28.629139072847682</v>
      </c>
      <c r="H96">
        <f>IF(G95="",0.47,H95+1)</f>
        <v>93.47</v>
      </c>
    </row>
    <row r="97" spans="1:8" x14ac:dyDescent="0.25">
      <c r="A97" s="27"/>
      <c r="B97" t="s">
        <v>234</v>
      </c>
      <c r="C97" t="s">
        <v>235</v>
      </c>
      <c r="E97" t="str">
        <f>B97&amp;" "&amp;C97</f>
        <v>ABBY BRYSON DALSIMENTO 22N2089</v>
      </c>
      <c r="F97">
        <v>32</v>
      </c>
      <c r="G97">
        <f>AVERAGE(F:F)</f>
        <v>28.629139072847682</v>
      </c>
      <c r="H97">
        <f>IF(G96="",0.47,H96+1)</f>
        <v>94.47</v>
      </c>
    </row>
    <row r="98" spans="1:8" x14ac:dyDescent="0.25">
      <c r="A98" s="27"/>
      <c r="B98" t="s">
        <v>236</v>
      </c>
      <c r="C98" t="s">
        <v>237</v>
      </c>
      <c r="E98" t="str">
        <f>B98&amp;" "&amp;C98</f>
        <v>BALARABE YOUNOUSSA 22S2799</v>
      </c>
      <c r="F98">
        <v>28</v>
      </c>
      <c r="G98">
        <f>AVERAGE(F:F)</f>
        <v>28.629139072847682</v>
      </c>
      <c r="H98">
        <f>IF(G97="",0.47,H97+1)</f>
        <v>95.47</v>
      </c>
    </row>
    <row r="99" spans="1:8" x14ac:dyDescent="0.25">
      <c r="A99" s="27"/>
      <c r="B99" t="s">
        <v>238</v>
      </c>
      <c r="C99" t="s">
        <v>239</v>
      </c>
      <c r="E99" t="str">
        <f>B99&amp;" "&amp;C99</f>
        <v>MODJO MYRIAM VANELLE 21L2523</v>
      </c>
      <c r="F99">
        <v>34</v>
      </c>
      <c r="G99">
        <f>AVERAGE(F:F)</f>
        <v>28.629139072847682</v>
      </c>
      <c r="H99">
        <f>IF(G98="",0.47,H98+1)</f>
        <v>96.47</v>
      </c>
    </row>
    <row r="100" spans="1:8" x14ac:dyDescent="0.25">
      <c r="A100" s="27"/>
      <c r="B100" t="s">
        <v>240</v>
      </c>
      <c r="C100" t="s">
        <v>241</v>
      </c>
      <c r="E100" t="str">
        <f>B100&amp;" "&amp;C100</f>
        <v>MBAIRANE CEDRICK 22S2762</v>
      </c>
      <c r="F100">
        <v>28</v>
      </c>
      <c r="G100">
        <f>AVERAGE(F:F)</f>
        <v>28.629139072847682</v>
      </c>
      <c r="H100">
        <f>IF(G99="",0.47,H99+1)</f>
        <v>97.47</v>
      </c>
    </row>
    <row r="101" spans="1:8" x14ac:dyDescent="0.25">
      <c r="A101" s="27"/>
      <c r="B101" t="s">
        <v>242</v>
      </c>
      <c r="C101" t="s">
        <v>243</v>
      </c>
      <c r="E101" t="str">
        <f>B101&amp;" "&amp;C101</f>
        <v>MOREMEM CROYANCE TODJIDE 22T2636</v>
      </c>
      <c r="F101">
        <v>42</v>
      </c>
      <c r="G101">
        <f>AVERAGE(F:F)</f>
        <v>28.629139072847682</v>
      </c>
      <c r="H101">
        <f>IF(G100="",0.47,H100+1)</f>
        <v>98.47</v>
      </c>
    </row>
    <row r="102" spans="1:8" x14ac:dyDescent="0.25">
      <c r="A102" s="27"/>
      <c r="B102" t="s">
        <v>244</v>
      </c>
      <c r="C102" t="s">
        <v>245</v>
      </c>
      <c r="E102" t="str">
        <f>B102&amp;" "&amp;C102</f>
        <v>DEFALLAH YOUSSOUF MAHAMAT 22T2004</v>
      </c>
      <c r="F102">
        <v>28</v>
      </c>
      <c r="G102">
        <f>AVERAGE(F:F)</f>
        <v>28.629139072847682</v>
      </c>
      <c r="H102">
        <f>IF(G101="",0.47,H101+1)</f>
        <v>99.47</v>
      </c>
    </row>
    <row r="103" spans="1:8" x14ac:dyDescent="0.25">
      <c r="A103" s="27"/>
      <c r="B103" t="s">
        <v>246</v>
      </c>
      <c r="C103" t="s">
        <v>247</v>
      </c>
      <c r="E103" t="str">
        <f>B103&amp;" "&amp;C103</f>
        <v>AYANGPELNA BAGOTCHING LUC 22O2754</v>
      </c>
      <c r="F103">
        <v>30</v>
      </c>
      <c r="G103">
        <f>AVERAGE(F:F)</f>
        <v>28.629139072847682</v>
      </c>
      <c r="H103">
        <f>IF(G102="",0.47,H102+1)</f>
        <v>100.47</v>
      </c>
    </row>
    <row r="104" spans="1:8" x14ac:dyDescent="0.25">
      <c r="A104" s="27"/>
      <c r="B104" t="s">
        <v>248</v>
      </c>
      <c r="C104" t="s">
        <v>249</v>
      </c>
      <c r="E104" t="str">
        <f>B104&amp;" "&amp;C104</f>
        <v>CIZAWO TALACK ELTON 21N2216</v>
      </c>
      <c r="F104">
        <v>34</v>
      </c>
      <c r="G104">
        <f>AVERAGE(F:F)</f>
        <v>28.629139072847682</v>
      </c>
      <c r="H104">
        <f>IF(G103="",0.47,H103+1)</f>
        <v>101.47</v>
      </c>
    </row>
    <row r="105" spans="1:8" x14ac:dyDescent="0.25">
      <c r="A105" s="27"/>
      <c r="B105" t="s">
        <v>250</v>
      </c>
      <c r="C105" t="s">
        <v>251</v>
      </c>
      <c r="E105" t="str">
        <f>B105&amp;" "&amp;C105</f>
        <v>MAGOUI RAISSA KEVINE 22L2112</v>
      </c>
      <c r="F105">
        <v>30</v>
      </c>
      <c r="G105">
        <f>AVERAGE(F:F)</f>
        <v>28.629139072847682</v>
      </c>
      <c r="H105">
        <f>IF(G104="",0.47,H104+1)</f>
        <v>102.47</v>
      </c>
    </row>
    <row r="106" spans="1:8" x14ac:dyDescent="0.25">
      <c r="A106" s="27"/>
      <c r="B106" t="s">
        <v>252</v>
      </c>
      <c r="C106" t="s">
        <v>253</v>
      </c>
      <c r="E106" t="str">
        <f>B106&amp;" "&amp;C106</f>
        <v>KITIO DONFACK JELLY ANGE 22O2775</v>
      </c>
      <c r="F106">
        <v>32</v>
      </c>
      <c r="G106">
        <f>AVERAGE(F:F)</f>
        <v>28.629139072847682</v>
      </c>
      <c r="H106">
        <f>IF(G105="",0.47,H105+1)</f>
        <v>103.47</v>
      </c>
    </row>
    <row r="107" spans="1:8" x14ac:dyDescent="0.25">
      <c r="A107" s="27"/>
      <c r="B107" t="s">
        <v>254</v>
      </c>
      <c r="C107" t="s">
        <v>255</v>
      </c>
      <c r="E107" t="str">
        <f>B107&amp;" "&amp;C107</f>
        <v>FOGUE MEGNIZEU LAURA 22O2421</v>
      </c>
      <c r="F107">
        <v>30</v>
      </c>
      <c r="G107">
        <f>AVERAGE(F:F)</f>
        <v>28.629139072847682</v>
      </c>
      <c r="H107">
        <f>IF(G106="",0.47,H106+1)</f>
        <v>104.47</v>
      </c>
    </row>
    <row r="108" spans="1:8" x14ac:dyDescent="0.25">
      <c r="A108" s="27"/>
      <c r="B108" t="s">
        <v>256</v>
      </c>
      <c r="C108" t="s">
        <v>257</v>
      </c>
      <c r="E108" t="str">
        <f>B108&amp;" "&amp;C108</f>
        <v>JIOLO LOÏC JORDAN 22R2315</v>
      </c>
      <c r="F108">
        <v>32</v>
      </c>
      <c r="G108">
        <f>AVERAGE(F:F)</f>
        <v>28.629139072847682</v>
      </c>
      <c r="H108">
        <f>IF(G107="",0.47,H107+1)</f>
        <v>105.47</v>
      </c>
    </row>
    <row r="109" spans="1:8" x14ac:dyDescent="0.25">
      <c r="A109" s="27"/>
      <c r="B109" t="s">
        <v>258</v>
      </c>
      <c r="C109" t="s">
        <v>259</v>
      </c>
      <c r="E109" t="str">
        <f>B109&amp;" "&amp;C109</f>
        <v>EYENGA MBOA SIMON EMMANUEL 22O2214</v>
      </c>
      <c r="F109">
        <v>36</v>
      </c>
      <c r="G109">
        <f>AVERAGE(F:F)</f>
        <v>28.629139072847682</v>
      </c>
      <c r="H109">
        <f>IF(G108="",0.47,H108+1)</f>
        <v>106.47</v>
      </c>
    </row>
    <row r="110" spans="1:8" x14ac:dyDescent="0.25">
      <c r="A110" s="27"/>
      <c r="B110" t="s">
        <v>260</v>
      </c>
      <c r="C110" t="s">
        <v>261</v>
      </c>
      <c r="E110" t="str">
        <f>B110&amp;" "&amp;C110</f>
        <v>MALIKI BARE 22N2744</v>
      </c>
      <c r="F110">
        <v>32</v>
      </c>
      <c r="G110">
        <f>AVERAGE(F:F)</f>
        <v>28.629139072847682</v>
      </c>
      <c r="H110">
        <f>IF(G109="",0.47,H109+1)</f>
        <v>107.47</v>
      </c>
    </row>
    <row r="111" spans="1:8" x14ac:dyDescent="0.25">
      <c r="A111" s="27"/>
      <c r="B111" t="s">
        <v>262</v>
      </c>
      <c r="C111" t="s">
        <v>263</v>
      </c>
      <c r="E111" t="str">
        <f>B111&amp;" "&amp;C111</f>
        <v>AMALIA JULIE CANELLE AVOULOU 22K2368</v>
      </c>
      <c r="F111">
        <v>28</v>
      </c>
      <c r="G111">
        <f>AVERAGE(F:F)</f>
        <v>28.629139072847682</v>
      </c>
      <c r="H111">
        <f>IF(G110="",0.47,H110+1)</f>
        <v>108.47</v>
      </c>
    </row>
    <row r="112" spans="1:8" x14ac:dyDescent="0.25">
      <c r="A112" s="27"/>
      <c r="B112" t="s">
        <v>264</v>
      </c>
      <c r="C112" t="s">
        <v>265</v>
      </c>
      <c r="E112" t="str">
        <f>B112&amp;" "&amp;C112</f>
        <v>AYAMBI DAMBALI WARYAKA 22V2066</v>
      </c>
      <c r="F112">
        <v>32</v>
      </c>
      <c r="G112">
        <f>AVERAGE(F:F)</f>
        <v>28.629139072847682</v>
      </c>
      <c r="H112">
        <f>IF(G111="",0.47,H111+1)</f>
        <v>109.47</v>
      </c>
    </row>
    <row r="113" spans="1:8" x14ac:dyDescent="0.25">
      <c r="A113" s="27"/>
      <c r="B113" t="s">
        <v>266</v>
      </c>
      <c r="C113" t="s">
        <v>267</v>
      </c>
      <c r="E113" t="str">
        <f>B113&amp;" "&amp;C113</f>
        <v>BELINGA PHILIPPE MOREL LEGRAND 22R2482</v>
      </c>
      <c r="F113">
        <v>32</v>
      </c>
      <c r="G113">
        <f>AVERAGE(F:F)</f>
        <v>28.629139072847682</v>
      </c>
      <c r="H113">
        <f>IF(G112="",0.47,H112+1)</f>
        <v>110.47</v>
      </c>
    </row>
    <row r="114" spans="1:8" x14ac:dyDescent="0.25">
      <c r="A114" s="27"/>
      <c r="B114" t="s">
        <v>268</v>
      </c>
      <c r="C114" t="s">
        <v>269</v>
      </c>
      <c r="E114" t="str">
        <f>B114&amp;" "&amp;C114</f>
        <v>MBAIREBE FRANCIS 22U2466</v>
      </c>
      <c r="F114">
        <v>24</v>
      </c>
      <c r="G114">
        <f>AVERAGE(F:F)</f>
        <v>28.629139072847682</v>
      </c>
      <c r="H114">
        <f>IF(G113="",0.47,H113+1)</f>
        <v>111.47</v>
      </c>
    </row>
    <row r="115" spans="1:8" x14ac:dyDescent="0.25">
      <c r="A115" s="27"/>
      <c r="B115" t="s">
        <v>270</v>
      </c>
      <c r="C115" t="s">
        <v>271</v>
      </c>
      <c r="E115" t="str">
        <f>B115&amp;" "&amp;C115</f>
        <v>MANUWALA LEA PRISCA 22R2953</v>
      </c>
      <c r="F115">
        <v>6</v>
      </c>
      <c r="G115">
        <f>AVERAGE(F:F)</f>
        <v>28.629139072847682</v>
      </c>
      <c r="H115">
        <f>IF(G114="",0.47,H114+1)</f>
        <v>112.47</v>
      </c>
    </row>
    <row r="116" spans="1:8" x14ac:dyDescent="0.25">
      <c r="A116" s="27"/>
      <c r="B116" t="s">
        <v>272</v>
      </c>
      <c r="C116" t="s">
        <v>273</v>
      </c>
      <c r="E116" t="str">
        <f>B116&amp;" "&amp;C116</f>
        <v>MABAH DJOUFO ALVINE SONIA 22N2097</v>
      </c>
      <c r="F116">
        <v>32</v>
      </c>
      <c r="G116">
        <f>AVERAGE(F:F)</f>
        <v>28.629139072847682</v>
      </c>
      <c r="H116">
        <f>IF(G115="",0.47,H115+1)</f>
        <v>113.47</v>
      </c>
    </row>
    <row r="117" spans="1:8" x14ac:dyDescent="0.25">
      <c r="A117" s="27"/>
      <c r="B117" t="s">
        <v>274</v>
      </c>
      <c r="C117" t="s">
        <v>275</v>
      </c>
      <c r="E117" t="str">
        <f>B117&amp;" "&amp;C117</f>
        <v>AWOUATSA KENDJI ULRICH 22R2236</v>
      </c>
      <c r="F117">
        <v>30</v>
      </c>
      <c r="G117">
        <f>AVERAGE(F:F)</f>
        <v>28.629139072847682</v>
      </c>
      <c r="H117">
        <f>IF(G116="",0.47,H116+1)</f>
        <v>114.47</v>
      </c>
    </row>
    <row r="118" spans="1:8" x14ac:dyDescent="0.25">
      <c r="A118" s="27"/>
      <c r="B118" t="s">
        <v>276</v>
      </c>
      <c r="C118" t="s">
        <v>277</v>
      </c>
      <c r="E118" t="str">
        <f>B118&amp;" "&amp;C118</f>
        <v>LIMBENG ELISE PROMESSE 22T2321</v>
      </c>
      <c r="F118">
        <v>20</v>
      </c>
      <c r="G118">
        <f>AVERAGE(F:F)</f>
        <v>28.629139072847682</v>
      </c>
      <c r="H118">
        <f>IF(G117="",0.47,H117+1)</f>
        <v>115.47</v>
      </c>
    </row>
    <row r="119" spans="1:8" x14ac:dyDescent="0.25">
      <c r="A119" s="27"/>
      <c r="B119" t="s">
        <v>278</v>
      </c>
      <c r="C119" t="s">
        <v>279</v>
      </c>
      <c r="E119" t="str">
        <f>B119&amp;" "&amp;C119</f>
        <v>KOUOTANG TAMBO LEONEL 22Q2440</v>
      </c>
      <c r="F119">
        <v>24</v>
      </c>
      <c r="G119">
        <f>AVERAGE(F:F)</f>
        <v>28.629139072847682</v>
      </c>
      <c r="H119">
        <f>IF(G118="",0.47,H118+1)</f>
        <v>116.47</v>
      </c>
    </row>
    <row r="120" spans="1:8" x14ac:dyDescent="0.25">
      <c r="A120" s="27"/>
      <c r="B120" t="s">
        <v>280</v>
      </c>
      <c r="C120" t="s">
        <v>281</v>
      </c>
      <c r="E120" t="str">
        <f>B120&amp;" "&amp;C120</f>
        <v>MANGA BESSALA MADELEINE ABIGAËL 22N2932</v>
      </c>
      <c r="F120">
        <v>26</v>
      </c>
      <c r="G120">
        <f>AVERAGE(F:F)</f>
        <v>28.629139072847682</v>
      </c>
      <c r="H120">
        <f>IF(G119="",0.47,H119+1)</f>
        <v>117.47</v>
      </c>
    </row>
    <row r="121" spans="1:8" x14ac:dyDescent="0.25">
      <c r="A121" s="27"/>
      <c r="B121" t="s">
        <v>282</v>
      </c>
      <c r="C121" t="s">
        <v>283</v>
      </c>
      <c r="E121" t="str">
        <f>B121&amp;" "&amp;C121</f>
        <v>EKOMO EKO RODOLPHE 21S2922</v>
      </c>
      <c r="F121">
        <v>28</v>
      </c>
      <c r="G121">
        <f>AVERAGE(F:F)</f>
        <v>28.629139072847682</v>
      </c>
      <c r="H121">
        <f>IF(G120="",0.47,H120+1)</f>
        <v>118.47</v>
      </c>
    </row>
    <row r="122" spans="1:8" x14ac:dyDescent="0.25">
      <c r="A122" s="27"/>
      <c r="B122" t="s">
        <v>284</v>
      </c>
      <c r="C122" t="s">
        <v>285</v>
      </c>
      <c r="E122" t="str">
        <f>B122&amp;" "&amp;C122</f>
        <v>DOUDJIMBAYE MBAINAM NARCISSE 22S2090</v>
      </c>
      <c r="F122">
        <v>26</v>
      </c>
      <c r="G122">
        <f>AVERAGE(F:F)</f>
        <v>28.629139072847682</v>
      </c>
      <c r="H122">
        <f>IF(G121="",0.47,H121+1)</f>
        <v>119.47</v>
      </c>
    </row>
    <row r="123" spans="1:8" x14ac:dyDescent="0.25">
      <c r="A123" s="27"/>
      <c r="B123" t="s">
        <v>286</v>
      </c>
      <c r="C123" t="s">
        <v>287</v>
      </c>
      <c r="E123" t="str">
        <f>B123&amp;" "&amp;C123</f>
        <v>AOUDOU KANO MOUSSA  22S2589</v>
      </c>
      <c r="F123">
        <v>32</v>
      </c>
      <c r="G123">
        <f>AVERAGE(F:F)</f>
        <v>28.629139072847682</v>
      </c>
      <c r="H123">
        <f>IF(G122="",0.47,H122+1)</f>
        <v>120.47</v>
      </c>
    </row>
    <row r="124" spans="1:8" x14ac:dyDescent="0.25">
      <c r="A124" s="27"/>
      <c r="B124" t="s">
        <v>288</v>
      </c>
      <c r="C124" t="s">
        <v>289</v>
      </c>
      <c r="E124" t="str">
        <f>B124&amp;" "&amp;C124</f>
        <v>BELINGA ONDOUA DIANDRA TSAGUE JOHANNA 22S2964</v>
      </c>
      <c r="F124">
        <v>34</v>
      </c>
      <c r="G124">
        <f>AVERAGE(F:F)</f>
        <v>28.629139072847682</v>
      </c>
      <c r="H124">
        <f>IF(G123="",0.47,H123+1)</f>
        <v>121.47</v>
      </c>
    </row>
    <row r="125" spans="1:8" x14ac:dyDescent="0.25">
      <c r="A125" s="27"/>
      <c r="B125" t="s">
        <v>290</v>
      </c>
      <c r="C125" t="s">
        <v>291</v>
      </c>
      <c r="E125" t="str">
        <f>B125&amp;" "&amp;C125</f>
        <v>BAH MBANI CHANCELOR MARINETTE 22R2470</v>
      </c>
      <c r="F125">
        <v>26</v>
      </c>
      <c r="G125">
        <f>AVERAGE(F:F)</f>
        <v>28.629139072847682</v>
      </c>
      <c r="H125">
        <f>IF(G124="",0.47,H124+1)</f>
        <v>122.47</v>
      </c>
    </row>
    <row r="126" spans="1:8" x14ac:dyDescent="0.25">
      <c r="A126" s="27"/>
      <c r="B126" t="s">
        <v>292</v>
      </c>
      <c r="C126" t="s">
        <v>293</v>
      </c>
      <c r="E126" t="str">
        <f>B126&amp;" "&amp;C126</f>
        <v>BAPPACK FRANCE CELESTINE CHLOE 22L2416</v>
      </c>
      <c r="F126">
        <v>30</v>
      </c>
      <c r="G126">
        <f>AVERAGE(F:F)</f>
        <v>28.629139072847682</v>
      </c>
      <c r="H126">
        <f>IF(G125="",0.47,H125+1)</f>
        <v>123.47</v>
      </c>
    </row>
    <row r="127" spans="1:8" x14ac:dyDescent="0.25">
      <c r="A127" s="27"/>
      <c r="B127" t="s">
        <v>294</v>
      </c>
      <c r="C127" t="s">
        <v>295</v>
      </c>
      <c r="E127" t="str">
        <f>B127&amp;" "&amp;C127</f>
        <v>MAZO TATCHINKOU FLORA 22N2610</v>
      </c>
      <c r="F127">
        <v>24</v>
      </c>
      <c r="G127">
        <f>AVERAGE(F:F)</f>
        <v>28.629139072847682</v>
      </c>
      <c r="H127">
        <f>IF(G126="",0.47,H126+1)</f>
        <v>124.47</v>
      </c>
    </row>
    <row r="128" spans="1:8" x14ac:dyDescent="0.25">
      <c r="A128" s="27"/>
      <c r="B128" t="s">
        <v>296</v>
      </c>
      <c r="C128" t="s">
        <v>297</v>
      </c>
      <c r="E128" t="str">
        <f>B128&amp;" "&amp;C128</f>
        <v>BIDIAS MINLONG GINA FRANCESCA 21L2220</v>
      </c>
      <c r="F128">
        <v>24</v>
      </c>
      <c r="G128">
        <f>AVERAGE(F:F)</f>
        <v>28.629139072847682</v>
      </c>
      <c r="H128">
        <f>IF(G127="",0.47,H127+1)</f>
        <v>125.47</v>
      </c>
    </row>
    <row r="129" spans="1:8" x14ac:dyDescent="0.25">
      <c r="A129" s="27"/>
      <c r="B129" t="s">
        <v>298</v>
      </c>
      <c r="C129" t="s">
        <v>299</v>
      </c>
      <c r="E129" t="str">
        <f>B129&amp;" "&amp;C129</f>
        <v>MEDJO MEKOULA MARIE BLANCHE 22N2960</v>
      </c>
      <c r="F129">
        <v>30</v>
      </c>
      <c r="G129">
        <f>AVERAGE(F:F)</f>
        <v>28.629139072847682</v>
      </c>
      <c r="H129">
        <f>IF(G128="",0.47,H128+1)</f>
        <v>126.47</v>
      </c>
    </row>
    <row r="130" spans="1:8" x14ac:dyDescent="0.25">
      <c r="A130" s="27"/>
      <c r="B130" t="s">
        <v>300</v>
      </c>
      <c r="C130" t="s">
        <v>301</v>
      </c>
      <c r="E130" t="str">
        <f>B130&amp;" "&amp;C130</f>
        <v>MVINDI TINA ULRICH 22Q2997</v>
      </c>
      <c r="F130">
        <v>26</v>
      </c>
      <c r="G130">
        <f>AVERAGE(F:F)</f>
        <v>28.629139072847682</v>
      </c>
      <c r="H130">
        <f>IF(G129="",0.47,H129+1)</f>
        <v>127.47</v>
      </c>
    </row>
    <row r="131" spans="1:8" x14ac:dyDescent="0.25">
      <c r="A131" s="27"/>
      <c r="B131" t="s">
        <v>302</v>
      </c>
      <c r="C131" t="s">
        <v>303</v>
      </c>
      <c r="E131" t="str">
        <f>B131&amp;" "&amp;C131</f>
        <v>BALLA OWONA GUY LANDRY 22K2667</v>
      </c>
      <c r="F131">
        <v>34</v>
      </c>
      <c r="G131">
        <f>AVERAGE(F:F)</f>
        <v>28.629139072847682</v>
      </c>
      <c r="H131">
        <f>IF(G130="",0.47,H130+1)</f>
        <v>128.47</v>
      </c>
    </row>
    <row r="132" spans="1:8" x14ac:dyDescent="0.25">
      <c r="A132" s="27"/>
      <c r="B132" t="s">
        <v>304</v>
      </c>
      <c r="C132" t="s">
        <v>305</v>
      </c>
      <c r="E132" t="str">
        <f>B132&amp;" "&amp;C132</f>
        <v>IDRISS RAMABHAN EL DALHAT 22Q2856</v>
      </c>
      <c r="F132">
        <v>30</v>
      </c>
      <c r="G132">
        <f>AVERAGE(F:F)</f>
        <v>28.629139072847682</v>
      </c>
      <c r="H132">
        <f>IF(G131="",0.47,H131+1)</f>
        <v>129.47</v>
      </c>
    </row>
    <row r="133" spans="1:8" x14ac:dyDescent="0.25">
      <c r="A133" s="27"/>
      <c r="B133" t="s">
        <v>306</v>
      </c>
      <c r="C133" t="s">
        <v>307</v>
      </c>
      <c r="E133" t="str">
        <f>B133&amp;" "&amp;C133</f>
        <v>MBARGA NADIA JOANNE VANESSA 22R2351</v>
      </c>
      <c r="F133">
        <v>30</v>
      </c>
      <c r="G133">
        <f>AVERAGE(F:F)</f>
        <v>28.629139072847682</v>
      </c>
      <c r="H133">
        <f>IF(G132="",0.47,H132+1)</f>
        <v>130.47</v>
      </c>
    </row>
    <row r="134" spans="1:8" x14ac:dyDescent="0.25">
      <c r="A134" s="27"/>
      <c r="B134" t="s">
        <v>308</v>
      </c>
      <c r="C134" t="s">
        <v>309</v>
      </c>
      <c r="E134" t="str">
        <f>B134&amp;" "&amp;C134</f>
        <v>MBAIRANE LEONEL JOSPIN 21T2102</v>
      </c>
      <c r="F134">
        <v>26</v>
      </c>
      <c r="G134">
        <f>AVERAGE(F:F)</f>
        <v>28.629139072847682</v>
      </c>
      <c r="H134">
        <f>IF(G133="",0.47,H133+1)</f>
        <v>131.47</v>
      </c>
    </row>
    <row r="135" spans="1:8" x14ac:dyDescent="0.25">
      <c r="A135" s="27"/>
      <c r="B135" t="s">
        <v>310</v>
      </c>
      <c r="C135" t="s">
        <v>311</v>
      </c>
      <c r="E135" t="str">
        <f>B135&amp;" "&amp;C135</f>
        <v>JOB DOURWE KAO MAGANDANDI 21N2628</v>
      </c>
      <c r="F135">
        <v>30</v>
      </c>
      <c r="G135">
        <f>AVERAGE(F:F)</f>
        <v>28.629139072847682</v>
      </c>
      <c r="H135">
        <f>IF(G134="",0.47,H134+1)</f>
        <v>132.47</v>
      </c>
    </row>
    <row r="136" spans="1:8" x14ac:dyDescent="0.25">
      <c r="A136" s="27"/>
      <c r="B136" t="s">
        <v>312</v>
      </c>
      <c r="C136" t="s">
        <v>313</v>
      </c>
      <c r="E136" t="str">
        <f>B136&amp;" "&amp;C136</f>
        <v>KENFACK MAËVA 22O2836</v>
      </c>
      <c r="F136">
        <v>34</v>
      </c>
      <c r="G136">
        <f>AVERAGE(F:F)</f>
        <v>28.629139072847682</v>
      </c>
      <c r="H136">
        <f>IF(G135="",0.47,H135+1)</f>
        <v>133.47</v>
      </c>
    </row>
    <row r="137" spans="1:8" x14ac:dyDescent="0.25">
      <c r="A137" s="27"/>
      <c r="B137" t="s">
        <v>314</v>
      </c>
      <c r="C137" t="s">
        <v>315</v>
      </c>
      <c r="E137" t="str">
        <f>B137&amp;" "&amp;C137</f>
        <v>DJOITONANTE KOUMTIBAYE CHRISTIAN 22V2824</v>
      </c>
      <c r="F137">
        <v>28</v>
      </c>
      <c r="G137">
        <f>AVERAGE(F:F)</f>
        <v>28.629139072847682</v>
      </c>
      <c r="H137">
        <f>IF(G136="",0.47,H136+1)</f>
        <v>134.47</v>
      </c>
    </row>
    <row r="138" spans="1:8" x14ac:dyDescent="0.25">
      <c r="A138" s="27"/>
      <c r="B138" t="s">
        <v>316</v>
      </c>
      <c r="C138" t="s">
        <v>317</v>
      </c>
      <c r="E138" t="str">
        <f>B138&amp;" "&amp;C138</f>
        <v>CHUAKO TOUCHOKO YLARIE 22N2176</v>
      </c>
      <c r="F138">
        <v>32</v>
      </c>
      <c r="G138">
        <f>AVERAGE(F:F)</f>
        <v>28.629139072847682</v>
      </c>
      <c r="H138">
        <f>IF(G137="",0.47,H137+1)</f>
        <v>135.47</v>
      </c>
    </row>
    <row r="139" spans="1:8" x14ac:dyDescent="0.25">
      <c r="A139" s="27"/>
      <c r="B139" t="s">
        <v>318</v>
      </c>
      <c r="C139" t="s">
        <v>319</v>
      </c>
      <c r="E139" t="str">
        <f>B139&amp;" "&amp;C139</f>
        <v>LOUNGA EKAMBANG HUGUES 20O2348</v>
      </c>
      <c r="F139">
        <v>30</v>
      </c>
      <c r="G139">
        <f>AVERAGE(F:F)</f>
        <v>28.629139072847682</v>
      </c>
      <c r="H139">
        <f>IF(G138="",0.47,H138+1)</f>
        <v>136.47</v>
      </c>
    </row>
    <row r="140" spans="1:8" x14ac:dyDescent="0.25">
      <c r="A140" s="27"/>
      <c r="B140" t="s">
        <v>320</v>
      </c>
      <c r="C140" t="s">
        <v>321</v>
      </c>
      <c r="E140" t="str">
        <f>B140&amp;" "&amp;C140</f>
        <v>MENYENGA EQUILIANE DAVILA 21N2939</v>
      </c>
      <c r="F140">
        <v>32</v>
      </c>
      <c r="G140">
        <f>AVERAGE(F:F)</f>
        <v>28.629139072847682</v>
      </c>
      <c r="H140">
        <f>IF(G139="",0.47,H139+1)</f>
        <v>137.47</v>
      </c>
    </row>
    <row r="141" spans="1:8" x14ac:dyDescent="0.25">
      <c r="A141" s="27"/>
      <c r="B141" t="s">
        <v>322</v>
      </c>
      <c r="C141" t="s">
        <v>323</v>
      </c>
      <c r="E141" t="str">
        <f>B141&amp;" "&amp;C141</f>
        <v>ABDOURAMAN HAYATOU 21R2169</v>
      </c>
      <c r="F141">
        <v>34</v>
      </c>
      <c r="G141">
        <f>AVERAGE(F:F)</f>
        <v>28.629139072847682</v>
      </c>
      <c r="H141">
        <f>IF(G140="",0.47,H140+1)</f>
        <v>138.47</v>
      </c>
    </row>
    <row r="142" spans="1:8" x14ac:dyDescent="0.25">
      <c r="A142" s="27"/>
      <c r="B142" t="s">
        <v>324</v>
      </c>
      <c r="C142" t="s">
        <v>325</v>
      </c>
      <c r="E142" t="str">
        <f>B142&amp;" "&amp;C142</f>
        <v>MONTHE NGADJE LAURAINE DANIELLE 22Q2111</v>
      </c>
      <c r="F142">
        <v>36</v>
      </c>
      <c r="G142">
        <f>AVERAGE(F:F)</f>
        <v>28.629139072847682</v>
      </c>
      <c r="H142">
        <f>IF(G141="",0.47,H141+1)</f>
        <v>139.47</v>
      </c>
    </row>
    <row r="143" spans="1:8" x14ac:dyDescent="0.25">
      <c r="A143" s="27"/>
      <c r="B143" t="s">
        <v>326</v>
      </c>
      <c r="C143" t="s">
        <v>327</v>
      </c>
      <c r="E143" t="str">
        <f>B143&amp;" "&amp;C143</f>
        <v>ALAFI MBOULI ABRAHAM 21L2803</v>
      </c>
      <c r="F143">
        <v>22</v>
      </c>
      <c r="G143">
        <f>AVERAGE(F:F)</f>
        <v>28.629139072847682</v>
      </c>
      <c r="H143">
        <f>IF(G142="",0.47,H142+1)</f>
        <v>140.47</v>
      </c>
    </row>
    <row r="144" spans="1:8" x14ac:dyDescent="0.25">
      <c r="A144" s="27"/>
      <c r="B144" t="s">
        <v>328</v>
      </c>
      <c r="C144" t="s">
        <v>329</v>
      </c>
      <c r="E144" t="str">
        <f>B144&amp;" "&amp;C144</f>
        <v>FOUOKEM TADJIOFOUO BELVIANE 22S2504</v>
      </c>
      <c r="F144">
        <v>28</v>
      </c>
      <c r="G144">
        <f>AVERAGE(F:F)</f>
        <v>28.629139072847682</v>
      </c>
      <c r="H144">
        <f>IF(G143="",0.47,H143+1)</f>
        <v>141.47</v>
      </c>
    </row>
    <row r="145" spans="1:8" x14ac:dyDescent="0.25">
      <c r="A145" s="27"/>
      <c r="B145" t="s">
        <v>330</v>
      </c>
      <c r="C145" t="s">
        <v>331</v>
      </c>
      <c r="E145" t="str">
        <f>B145&amp;" "&amp;C145</f>
        <v>MBAPA NGONO GISLAINE 22T2408</v>
      </c>
      <c r="F145">
        <v>24</v>
      </c>
      <c r="G145">
        <f>AVERAGE(F:F)</f>
        <v>28.629139072847682</v>
      </c>
      <c r="H145">
        <f>IF(G144="",0.47,H144+1)</f>
        <v>142.47</v>
      </c>
    </row>
    <row r="146" spans="1:8" x14ac:dyDescent="0.25">
      <c r="A146" s="27"/>
      <c r="B146" t="s">
        <v>332</v>
      </c>
      <c r="C146" t="s">
        <v>333</v>
      </c>
      <c r="E146" t="str">
        <f>B146&amp;" "&amp;C146</f>
        <v>MABESSI MOLEMO YVANA FAELLE 22S2321</v>
      </c>
      <c r="F146">
        <v>32</v>
      </c>
      <c r="G146">
        <f>AVERAGE(F:F)</f>
        <v>28.629139072847682</v>
      </c>
      <c r="H146">
        <f>IF(G145="",0.47,H145+1)</f>
        <v>143.47</v>
      </c>
    </row>
    <row r="147" spans="1:8" x14ac:dyDescent="0.25">
      <c r="A147" s="27"/>
      <c r="B147" t="s">
        <v>334</v>
      </c>
      <c r="C147" t="s">
        <v>335</v>
      </c>
      <c r="E147" t="str">
        <f>B147&amp;" "&amp;C147</f>
        <v>BEHASSEMDA AZOR 22K2265</v>
      </c>
      <c r="F147">
        <v>32</v>
      </c>
      <c r="G147">
        <f>AVERAGE(F:F)</f>
        <v>28.629139072847682</v>
      </c>
      <c r="H147">
        <f>IF(G146="",0.47,H146+1)</f>
        <v>144.47</v>
      </c>
    </row>
    <row r="148" spans="1:8" x14ac:dyDescent="0.25">
      <c r="A148" s="27"/>
      <c r="B148" t="s">
        <v>336</v>
      </c>
      <c r="C148" t="s">
        <v>337</v>
      </c>
      <c r="E148" t="str">
        <f>B148&amp;" "&amp;C148</f>
        <v>KEPSEU MBAKOUE LOÏC WILFRIED 22T2106</v>
      </c>
      <c r="F148">
        <v>24</v>
      </c>
      <c r="G148">
        <f>AVERAGE(F:F)</f>
        <v>28.629139072847682</v>
      </c>
      <c r="H148">
        <f>IF(G147="",0.47,H147+1)</f>
        <v>145.47</v>
      </c>
    </row>
    <row r="149" spans="1:8" x14ac:dyDescent="0.25">
      <c r="A149" s="27"/>
      <c r="B149" t="s">
        <v>338</v>
      </c>
      <c r="C149" t="s">
        <v>339</v>
      </c>
      <c r="E149" t="str">
        <f>B149&amp;" "&amp;C149</f>
        <v>BLANE BIENVENU BEL-BANG 22Q2001</v>
      </c>
      <c r="F149">
        <v>30</v>
      </c>
      <c r="G149">
        <f>AVERAGE(F:F)</f>
        <v>28.629139072847682</v>
      </c>
      <c r="H149">
        <f>IF(G148="",0.47,H148+1)</f>
        <v>146.47</v>
      </c>
    </row>
    <row r="150" spans="1:8" x14ac:dyDescent="0.25">
      <c r="A150" s="27"/>
      <c r="B150" t="s">
        <v>340</v>
      </c>
      <c r="C150" t="s">
        <v>341</v>
      </c>
      <c r="E150" t="str">
        <f>B150&amp;" "&amp;C150</f>
        <v>MANGOO BEYE ARIANE CHAD CHELA 21S2572</v>
      </c>
      <c r="F150">
        <v>26</v>
      </c>
      <c r="G150">
        <f>AVERAGE(F:F)</f>
        <v>28.629139072847682</v>
      </c>
      <c r="H150">
        <f>IF(G149="",0.47,H149+1)</f>
        <v>147.47</v>
      </c>
    </row>
    <row r="151" spans="1:8" x14ac:dyDescent="0.25">
      <c r="A151" s="27"/>
      <c r="B151" t="s">
        <v>342</v>
      </c>
      <c r="C151" t="s">
        <v>343</v>
      </c>
      <c r="E151" t="str">
        <f>B151&amp;" "&amp;C151</f>
        <v>LINAMAMOU BAROU 22T2487</v>
      </c>
      <c r="F151">
        <v>30</v>
      </c>
      <c r="G151">
        <f>AVERAGE(F:F)</f>
        <v>28.629139072847682</v>
      </c>
      <c r="H151">
        <f>IF(G150="",0.47,H150+1)</f>
        <v>148.47</v>
      </c>
    </row>
    <row r="152" spans="1:8" x14ac:dyDescent="0.25">
      <c r="A152" s="27"/>
      <c r="B152" t="s">
        <v>344</v>
      </c>
      <c r="C152" t="s">
        <v>345</v>
      </c>
      <c r="E152" t="str">
        <f>B152&amp;" "&amp;C152</f>
        <v>MAHAMAT ABDELKERIM FOT 22V2558</v>
      </c>
      <c r="F152">
        <v>26</v>
      </c>
      <c r="G152">
        <f>AVERAGE(F:F)</f>
        <v>28.629139072847682</v>
      </c>
      <c r="H152">
        <f>IF(G151="",0.47,H151+1)</f>
        <v>149.47</v>
      </c>
    </row>
    <row r="153" spans="1:8" x14ac:dyDescent="0.25">
      <c r="A153" s="27"/>
      <c r="B153" t="s">
        <v>346</v>
      </c>
      <c r="C153" t="s">
        <v>347</v>
      </c>
      <c r="E153" t="str">
        <f>B153&amp;" "&amp;C153</f>
        <v>MOUGAROH KOUDHAYELDE ENOCK 22V2097</v>
      </c>
      <c r="F153">
        <v>36</v>
      </c>
      <c r="G153">
        <f>AVERAGE(F:F)</f>
        <v>28.629139072847682</v>
      </c>
      <c r="H153">
        <f>IF(G152="",0.47,H152+1)</f>
        <v>150.47</v>
      </c>
    </row>
    <row r="154" spans="1:8" x14ac:dyDescent="0.25">
      <c r="A154" s="27"/>
      <c r="B154" t="s">
        <v>348</v>
      </c>
      <c r="C154" t="s">
        <v>349</v>
      </c>
      <c r="E154" t="str">
        <f>B154&amp;" "&amp;C154</f>
        <v>ABDRAMANE ADOUM ABAKAR 22V2583</v>
      </c>
      <c r="F154">
        <v>30</v>
      </c>
      <c r="G154">
        <f>AVERAGE(F:F)</f>
        <v>28.629139072847682</v>
      </c>
      <c r="H154">
        <f>IF(G153="",0.47,H153+1)</f>
        <v>151.47</v>
      </c>
    </row>
    <row r="155" spans="1:8" x14ac:dyDescent="0.25">
      <c r="A155" s="27"/>
      <c r="B155" t="s">
        <v>350</v>
      </c>
      <c r="C155" t="s">
        <v>351</v>
      </c>
      <c r="E155" t="str">
        <f>B155&amp;" "&amp;C155</f>
        <v>DJOUPOUO NOCHI LUDIVINE FLORE 22R2263</v>
      </c>
      <c r="F155">
        <v>18</v>
      </c>
      <c r="G155">
        <f>AVERAGE(F:F)</f>
        <v>28.629139072847682</v>
      </c>
      <c r="H155">
        <f>IF(G154="",0.47,H154+1)</f>
        <v>152.47</v>
      </c>
    </row>
    <row r="156" spans="1:8" x14ac:dyDescent="0.25">
      <c r="A156" s="27"/>
      <c r="B156" t="s">
        <v>352</v>
      </c>
      <c r="C156" t="s">
        <v>353</v>
      </c>
      <c r="E156" t="str">
        <f>B156&amp;" "&amp;C156</f>
        <v>GUINDJA TYO GALI 22K2282</v>
      </c>
      <c r="F156">
        <v>36</v>
      </c>
      <c r="G156">
        <f>AVERAGE(F:F)</f>
        <v>28.629139072847682</v>
      </c>
      <c r="H156">
        <f>IF(G155="",0.47,H155+1)</f>
        <v>153.47</v>
      </c>
    </row>
    <row r="157" spans="1:8" x14ac:dyDescent="0.25">
      <c r="A157" s="27"/>
      <c r="B157" t="s">
        <v>354</v>
      </c>
      <c r="C157" t="s">
        <v>355</v>
      </c>
      <c r="E157" t="str">
        <f>B157&amp;" "&amp;C157</f>
        <v>ABENG THAMAR JENNY 20L2203</v>
      </c>
      <c r="F157">
        <v>24</v>
      </c>
      <c r="G157">
        <f>AVERAGE(F:F)</f>
        <v>28.629139072847682</v>
      </c>
      <c r="H157">
        <f>IF(G156="",0.47,H156+1)</f>
        <v>154.47</v>
      </c>
    </row>
    <row r="158" spans="1:8" x14ac:dyDescent="0.25">
      <c r="A158" s="27"/>
      <c r="B158" t="s">
        <v>356</v>
      </c>
      <c r="C158" t="s">
        <v>357</v>
      </c>
      <c r="E158" t="str">
        <f>B158&amp;" "&amp;C158</f>
        <v>AMBOMO BELIBI JUSTIN STEPHANE MIGELE 21O2007</v>
      </c>
      <c r="F158">
        <v>30</v>
      </c>
      <c r="G158">
        <f>AVERAGE(F:F)</f>
        <v>28.629139072847682</v>
      </c>
      <c r="H158">
        <f>IF(G157="",0.47,H157+1)</f>
        <v>155.47</v>
      </c>
    </row>
    <row r="159" spans="1:8" x14ac:dyDescent="0.25">
      <c r="A159" s="27"/>
      <c r="B159" t="s">
        <v>358</v>
      </c>
      <c r="C159" t="s">
        <v>359</v>
      </c>
      <c r="E159" t="str">
        <f>B159&amp;" "&amp;C159</f>
        <v>ARNOLD ROUDOLPHE MOUSSADI EYANGO 22K2774</v>
      </c>
      <c r="F159">
        <v>28</v>
      </c>
      <c r="G159">
        <f>AVERAGE(F:F)</f>
        <v>28.629139072847682</v>
      </c>
      <c r="H159">
        <f>IF(G158="",0.47,H158+1)</f>
        <v>156.47</v>
      </c>
    </row>
    <row r="160" spans="1:8" x14ac:dyDescent="0.25">
      <c r="A160" s="27"/>
      <c r="B160" t="s">
        <v>360</v>
      </c>
      <c r="C160" t="s">
        <v>361</v>
      </c>
      <c r="E160" t="str">
        <f>B160&amp;" "&amp;C160</f>
        <v>DACHIEU WEDJE AUDE 20L2921</v>
      </c>
      <c r="F160">
        <v>20</v>
      </c>
      <c r="G160">
        <f>AVERAGE(F:F)</f>
        <v>28.629139072847682</v>
      </c>
      <c r="H160">
        <f>IF(G159="",0.47,H159+1)</f>
        <v>157.47</v>
      </c>
    </row>
    <row r="161" spans="1:8" x14ac:dyDescent="0.25">
      <c r="A161" s="27"/>
      <c r="B161" t="s">
        <v>362</v>
      </c>
      <c r="C161" t="s">
        <v>363</v>
      </c>
      <c r="E161" t="str">
        <f>B161&amp;" "&amp;C161</f>
        <v>BEYENE VINCENT JUNIOR 19R2214</v>
      </c>
      <c r="F161">
        <v>26</v>
      </c>
      <c r="G161">
        <f>AVERAGE(F:F)</f>
        <v>28.629139072847682</v>
      </c>
      <c r="H161">
        <f>IF(G160="",0.47,H160+1)</f>
        <v>158.47</v>
      </c>
    </row>
    <row r="162" spans="1:8" x14ac:dyDescent="0.25">
      <c r="A162" s="27"/>
      <c r="B162" t="s">
        <v>364</v>
      </c>
      <c r="C162" t="s">
        <v>365</v>
      </c>
      <c r="E162" t="str">
        <f>B162&amp;" "&amp;C162</f>
        <v>BABAYANA DORETTE 22O2915</v>
      </c>
      <c r="F162">
        <v>32</v>
      </c>
      <c r="G162">
        <f>AVERAGE(F:F)</f>
        <v>28.629139072847682</v>
      </c>
      <c r="H162">
        <f>IF(G161="",0.47,H161+1)</f>
        <v>159.47</v>
      </c>
    </row>
    <row r="163" spans="1:8" x14ac:dyDescent="0.25">
      <c r="A163" s="27"/>
      <c r="B163" t="s">
        <v>366</v>
      </c>
      <c r="C163" t="s">
        <v>367</v>
      </c>
      <c r="E163" t="str">
        <f>B163&amp;" "&amp;C163</f>
        <v>LOUNA SAMAYASSOU LUC 22S2642</v>
      </c>
      <c r="F163">
        <v>28</v>
      </c>
      <c r="G163">
        <f>AVERAGE(F:F)</f>
        <v>28.629139072847682</v>
      </c>
      <c r="H163">
        <f>IF(G162="",0.47,H162+1)</f>
        <v>160.47</v>
      </c>
    </row>
    <row r="164" spans="1:8" x14ac:dyDescent="0.25">
      <c r="A164" s="27"/>
      <c r="B164" t="s">
        <v>368</v>
      </c>
      <c r="C164" t="s">
        <v>369</v>
      </c>
      <c r="E164" t="str">
        <f>B164&amp;" "&amp;C164</f>
        <v>EZEMBE MVONDO EDWIGE CLAIRE 22N2653</v>
      </c>
      <c r="F164">
        <v>18</v>
      </c>
      <c r="G164">
        <f>AVERAGE(F:F)</f>
        <v>28.629139072847682</v>
      </c>
      <c r="H164">
        <f>IF(G163="",0.47,H163+1)</f>
        <v>161.47</v>
      </c>
    </row>
    <row r="165" spans="1:8" x14ac:dyDescent="0.25">
      <c r="A165" s="27"/>
      <c r="B165" t="s">
        <v>370</v>
      </c>
      <c r="C165" t="s">
        <v>371</v>
      </c>
      <c r="E165" t="str">
        <f>B165&amp;" "&amp;C165</f>
        <v>MADJI EDITH AVELINA 22S2549</v>
      </c>
      <c r="F165">
        <v>32</v>
      </c>
      <c r="G165">
        <f>AVERAGE(F:F)</f>
        <v>28.629139072847682</v>
      </c>
      <c r="H165">
        <f>IF(G164="",0.47,H164+1)</f>
        <v>162.47</v>
      </c>
    </row>
    <row r="166" spans="1:8" x14ac:dyDescent="0.25">
      <c r="A166" s="27"/>
      <c r="B166" t="s">
        <v>372</v>
      </c>
      <c r="C166" t="s">
        <v>373</v>
      </c>
      <c r="E166" t="str">
        <f>B166&amp;" "&amp;C166</f>
        <v>MVODO LAURENE 22N2313</v>
      </c>
      <c r="F166">
        <v>24</v>
      </c>
      <c r="G166">
        <f>AVERAGE(F:F)</f>
        <v>28.629139072847682</v>
      </c>
      <c r="H166">
        <f>IF(G165="",0.47,H165+1)</f>
        <v>163.47</v>
      </c>
    </row>
    <row r="167" spans="1:8" x14ac:dyDescent="0.25">
      <c r="A167" s="27"/>
      <c r="B167" t="s">
        <v>374</v>
      </c>
      <c r="C167" t="s">
        <v>375</v>
      </c>
      <c r="E167" t="str">
        <f>B167&amp;" "&amp;C167</f>
        <v>ALLO MANGA EDOUARD 22L2942</v>
      </c>
      <c r="F167">
        <v>30</v>
      </c>
      <c r="G167">
        <f>AVERAGE(F:F)</f>
        <v>28.629139072847682</v>
      </c>
      <c r="H167">
        <f>IF(G166="",0.47,H166+1)</f>
        <v>164.47</v>
      </c>
    </row>
    <row r="168" spans="1:8" x14ac:dyDescent="0.25">
      <c r="A168" s="27"/>
      <c r="B168" t="s">
        <v>376</v>
      </c>
      <c r="C168" t="s">
        <v>377</v>
      </c>
      <c r="E168" t="str">
        <f>B168&amp;" "&amp;C168</f>
        <v>ASSIBA TEBERODJE I HERVE 22R2661</v>
      </c>
      <c r="F168">
        <v>30</v>
      </c>
      <c r="G168">
        <f>AVERAGE(F:F)</f>
        <v>28.629139072847682</v>
      </c>
      <c r="H168">
        <f>IF(G167="",0.47,H167+1)</f>
        <v>165.47</v>
      </c>
    </row>
    <row r="169" spans="1:8" x14ac:dyDescent="0.25">
      <c r="A169" s="27"/>
      <c r="B169" t="s">
        <v>378</v>
      </c>
      <c r="C169" t="s">
        <v>379</v>
      </c>
      <c r="E169" t="str">
        <f>B169&amp;" "&amp;C169</f>
        <v>MOGUEM MBARGA LYNE 22U2914</v>
      </c>
      <c r="F169">
        <v>30</v>
      </c>
      <c r="G169">
        <f>AVERAGE(F:F)</f>
        <v>28.629139072847682</v>
      </c>
      <c r="H169">
        <f>IF(G168="",0.47,H168+1)</f>
        <v>166.47</v>
      </c>
    </row>
    <row r="170" spans="1:8" x14ac:dyDescent="0.25">
      <c r="A170" s="27"/>
      <c r="B170" t="s">
        <v>380</v>
      </c>
      <c r="C170" t="s">
        <v>381</v>
      </c>
      <c r="E170" t="str">
        <f>B170&amp;" "&amp;C170</f>
        <v>DIFFOUO FOUODJIO CHYNAIDA 22N2180</v>
      </c>
      <c r="F170">
        <v>34</v>
      </c>
      <c r="G170">
        <f>AVERAGE(F:F)</f>
        <v>28.629139072847682</v>
      </c>
      <c r="H170">
        <f>IF(G169="",0.47,H169+1)</f>
        <v>167.47</v>
      </c>
    </row>
    <row r="171" spans="1:8" x14ac:dyDescent="0.25">
      <c r="A171" s="27"/>
      <c r="B171" t="s">
        <v>382</v>
      </c>
      <c r="C171" t="s">
        <v>383</v>
      </c>
      <c r="E171" t="str">
        <f>B171&amp;" "&amp;C171</f>
        <v>ALLAMINE ABDRAMANE CHAÏB 22S2863</v>
      </c>
      <c r="F171">
        <v>32</v>
      </c>
      <c r="G171">
        <f>AVERAGE(F:F)</f>
        <v>28.629139072847682</v>
      </c>
      <c r="H171">
        <f>IF(G170="",0.47,H170+1)</f>
        <v>168.47</v>
      </c>
    </row>
    <row r="172" spans="1:8" x14ac:dyDescent="0.25">
      <c r="A172" s="27"/>
      <c r="B172" t="s">
        <v>384</v>
      </c>
      <c r="C172" t="s">
        <v>385</v>
      </c>
      <c r="E172" t="str">
        <f>B172&amp;" "&amp;C172</f>
        <v>FOKA FOWA LIONEL 23V2750</v>
      </c>
      <c r="F172">
        <v>30</v>
      </c>
      <c r="G172">
        <f>AVERAGE(F:F)</f>
        <v>28.629139072847682</v>
      </c>
      <c r="H172">
        <f>IF(G171="",0.47,H171+1)</f>
        <v>169.47</v>
      </c>
    </row>
    <row r="173" spans="1:8" x14ac:dyDescent="0.25">
      <c r="A173" s="27"/>
      <c r="B173" t="s">
        <v>386</v>
      </c>
      <c r="C173" t="s">
        <v>387</v>
      </c>
      <c r="E173" t="str">
        <f>B173&amp;" "&amp;C173</f>
        <v>LONTSI TIOMELA LEA 22S2997</v>
      </c>
      <c r="F173">
        <v>30</v>
      </c>
      <c r="G173">
        <f>AVERAGE(F:F)</f>
        <v>28.629139072847682</v>
      </c>
      <c r="H173">
        <f>IF(G172="",0.47,H172+1)</f>
        <v>170.47</v>
      </c>
    </row>
    <row r="174" spans="1:8" x14ac:dyDescent="0.25">
      <c r="A174" s="27"/>
      <c r="B174" t="s">
        <v>388</v>
      </c>
      <c r="C174" t="s">
        <v>389</v>
      </c>
      <c r="E174" t="str">
        <f>B174&amp;" "&amp;C174</f>
        <v>FOKOU BIDIAS CAREL 22N2295</v>
      </c>
      <c r="F174">
        <v>26</v>
      </c>
      <c r="G174">
        <f>AVERAGE(F:F)</f>
        <v>28.629139072847682</v>
      </c>
      <c r="H174">
        <f>IF(G173="",0.47,H173+1)</f>
        <v>171.47</v>
      </c>
    </row>
    <row r="175" spans="1:8" x14ac:dyDescent="0.25">
      <c r="A175" s="27"/>
      <c r="B175" t="s">
        <v>390</v>
      </c>
      <c r="C175" t="s">
        <v>391</v>
      </c>
      <c r="E175" t="str">
        <f>B175&amp;" "&amp;C175</f>
        <v>CHELSOUBE PASSORET 22R2450</v>
      </c>
      <c r="F175">
        <v>38</v>
      </c>
      <c r="G175">
        <f>AVERAGE(F:F)</f>
        <v>28.629139072847682</v>
      </c>
      <c r="H175">
        <f>IF(G174="",0.47,H174+1)</f>
        <v>172.47</v>
      </c>
    </row>
    <row r="176" spans="1:8" x14ac:dyDescent="0.25">
      <c r="A176" s="27"/>
      <c r="B176" t="s">
        <v>392</v>
      </c>
      <c r="C176" t="s">
        <v>393</v>
      </c>
      <c r="E176" t="str">
        <f>B176&amp;" "&amp;C176</f>
        <v>EPANDA EPOH RODDY PAVEL 21N2661</v>
      </c>
      <c r="F176">
        <v>30</v>
      </c>
      <c r="G176">
        <f>AVERAGE(F:F)</f>
        <v>28.629139072847682</v>
      </c>
      <c r="H176">
        <f>IF(G175="",0.47,H175+1)</f>
        <v>173.47</v>
      </c>
    </row>
    <row r="177" spans="1:8" x14ac:dyDescent="0.25">
      <c r="A177" s="27"/>
      <c r="B177" t="s">
        <v>394</v>
      </c>
      <c r="C177" t="s">
        <v>395</v>
      </c>
      <c r="E177" t="str">
        <f>B177&amp;" "&amp;C177</f>
        <v>AVOUDA TAB VANG-LET 22U2472</v>
      </c>
      <c r="F177">
        <v>30</v>
      </c>
      <c r="G177">
        <f>AVERAGE(F:F)</f>
        <v>28.629139072847682</v>
      </c>
      <c r="H177">
        <f>IF(G176="",0.47,H176+1)</f>
        <v>174.47</v>
      </c>
    </row>
    <row r="178" spans="1:8" x14ac:dyDescent="0.25">
      <c r="A178" s="27"/>
      <c r="B178" t="s">
        <v>396</v>
      </c>
      <c r="C178" t="s">
        <v>397</v>
      </c>
      <c r="E178" t="str">
        <f>B178&amp;" "&amp;C178</f>
        <v>ANGUI NDOCKSANDJA PAUL RICKIEL 22L2915</v>
      </c>
      <c r="F178">
        <v>26</v>
      </c>
      <c r="G178">
        <f>AVERAGE(F:F)</f>
        <v>28.629139072847682</v>
      </c>
      <c r="H178">
        <f>IF(G177="",0.47,H177+1)</f>
        <v>175.47</v>
      </c>
    </row>
    <row r="179" spans="1:8" x14ac:dyDescent="0.25">
      <c r="A179" s="27"/>
      <c r="B179" t="s">
        <v>398</v>
      </c>
      <c r="C179" t="s">
        <v>399</v>
      </c>
      <c r="E179" t="str">
        <f>B179&amp;" "&amp;C179</f>
        <v>KOUNA ESSOMBA FLEURY MAURINE 22V2999</v>
      </c>
      <c r="F179">
        <v>0</v>
      </c>
      <c r="G179">
        <f>AVERAGE(F:F)</f>
        <v>28.629139072847682</v>
      </c>
      <c r="H179">
        <f>IF(G178="",0.47,H178+1)</f>
        <v>176.47</v>
      </c>
    </row>
    <row r="180" spans="1:8" x14ac:dyDescent="0.25">
      <c r="A180" s="27"/>
      <c r="B180" t="s">
        <v>400</v>
      </c>
      <c r="C180" t="s">
        <v>401</v>
      </c>
      <c r="E180" t="str">
        <f>B180&amp;" "&amp;C180</f>
        <v>CHIKEZIE DIVINE MIRACLE IKECHUKWU 22R2987</v>
      </c>
      <c r="F180">
        <v>30</v>
      </c>
      <c r="G180">
        <f>AVERAGE(F:F)</f>
        <v>28.629139072847682</v>
      </c>
      <c r="H180">
        <f>IF(G179="",0.47,H179+1)</f>
        <v>177.47</v>
      </c>
    </row>
    <row r="181" spans="1:8" x14ac:dyDescent="0.25">
      <c r="A181" s="27"/>
      <c r="B181" t="s">
        <v>402</v>
      </c>
      <c r="C181" t="s">
        <v>403</v>
      </c>
      <c r="E181" t="str">
        <f>B181&amp;" "&amp;C181</f>
        <v>DJOMO YANNICK 20K2773</v>
      </c>
      <c r="F181">
        <v>24</v>
      </c>
      <c r="G181">
        <f>AVERAGE(F:F)</f>
        <v>28.629139072847682</v>
      </c>
      <c r="H181">
        <f>IF(G180="",0.47,H180+1)</f>
        <v>178.47</v>
      </c>
    </row>
    <row r="182" spans="1:8" x14ac:dyDescent="0.25">
      <c r="A182" s="27"/>
      <c r="B182" t="s">
        <v>404</v>
      </c>
      <c r="C182" t="s">
        <v>405</v>
      </c>
      <c r="E182" t="str">
        <f>B182&amp;" "&amp;C182</f>
        <v>EYINGA NKOO  20S2575</v>
      </c>
      <c r="F182">
        <v>28</v>
      </c>
      <c r="G182">
        <f>AVERAGE(F:F)</f>
        <v>28.629139072847682</v>
      </c>
      <c r="H182">
        <f>IF(G181="",0.47,H181+1)</f>
        <v>179.47</v>
      </c>
    </row>
    <row r="183" spans="1:8" x14ac:dyDescent="0.25">
      <c r="A183" s="27"/>
      <c r="B183" t="s">
        <v>406</v>
      </c>
      <c r="C183" t="s">
        <v>407</v>
      </c>
      <c r="E183" t="str">
        <f>B183&amp;" "&amp;C183</f>
        <v>LANING TATANG FRANCK VALDES 22N2580</v>
      </c>
      <c r="F183">
        <v>32</v>
      </c>
      <c r="G183">
        <f>AVERAGE(F:F)</f>
        <v>28.629139072847682</v>
      </c>
      <c r="H183">
        <f>IF(G182="",0.47,H182+1)</f>
        <v>180.47</v>
      </c>
    </row>
    <row r="184" spans="1:8" x14ac:dyDescent="0.25">
      <c r="A184" s="27"/>
      <c r="B184" t="s">
        <v>408</v>
      </c>
      <c r="C184" t="s">
        <v>409</v>
      </c>
      <c r="E184" t="str">
        <f>B184&amp;" "&amp;C184</f>
        <v>MEGNIGANG JIONGO D. MEGANE 22Q2151</v>
      </c>
      <c r="F184">
        <v>32</v>
      </c>
      <c r="G184">
        <f>AVERAGE(F:F)</f>
        <v>28.629139072847682</v>
      </c>
      <c r="H184">
        <f>IF(G183="",0.47,H183+1)</f>
        <v>181.47</v>
      </c>
    </row>
    <row r="185" spans="1:8" x14ac:dyDescent="0.25">
      <c r="A185" s="27"/>
      <c r="B185" t="s">
        <v>410</v>
      </c>
      <c r="C185" t="s">
        <v>411</v>
      </c>
      <c r="E185" t="str">
        <f>B185&amp;" "&amp;C185</f>
        <v>HONA BAHITA ADÈLE LAURIS 22K2939</v>
      </c>
      <c r="F185">
        <v>28</v>
      </c>
      <c r="G185">
        <f>AVERAGE(F:F)</f>
        <v>28.629139072847682</v>
      </c>
      <c r="H185">
        <f>IF(G184="",0.47,H184+1)</f>
        <v>182.47</v>
      </c>
    </row>
    <row r="186" spans="1:8" x14ac:dyDescent="0.25">
      <c r="A186" s="27"/>
      <c r="B186" t="s">
        <v>412</v>
      </c>
      <c r="C186" t="s">
        <v>413</v>
      </c>
      <c r="E186" t="str">
        <f>B186&amp;" "&amp;C186</f>
        <v>CHRIST-ROI SAINGAR 22U2694</v>
      </c>
      <c r="F186">
        <v>34</v>
      </c>
      <c r="G186">
        <f>AVERAGE(F:F)</f>
        <v>28.629139072847682</v>
      </c>
      <c r="H186">
        <f>IF(G185="",0.47,H185+1)</f>
        <v>183.47</v>
      </c>
    </row>
    <row r="187" spans="1:8" x14ac:dyDescent="0.25">
      <c r="A187" s="27"/>
      <c r="B187" t="s">
        <v>414</v>
      </c>
      <c r="C187" t="s">
        <v>415</v>
      </c>
      <c r="E187" t="str">
        <f>B187&amp;" "&amp;C187</f>
        <v>ASIMO FREDDY WILLEM 22N2588</v>
      </c>
      <c r="F187">
        <v>28</v>
      </c>
      <c r="G187">
        <f>AVERAGE(F:F)</f>
        <v>28.629139072847682</v>
      </c>
      <c r="H187">
        <f>IF(G186="",0.47,H186+1)</f>
        <v>184.47</v>
      </c>
    </row>
    <row r="188" spans="1:8" x14ac:dyDescent="0.25">
      <c r="A188" s="27"/>
      <c r="B188" t="s">
        <v>416</v>
      </c>
      <c r="C188" t="s">
        <v>417</v>
      </c>
      <c r="E188" t="str">
        <f>B188&amp;" "&amp;C188</f>
        <v>MOUTASSIM BECHIR MAHAMAT 22O2761</v>
      </c>
      <c r="F188">
        <v>34</v>
      </c>
      <c r="G188">
        <f>AVERAGE(F:F)</f>
        <v>28.629139072847682</v>
      </c>
      <c r="H188">
        <f>IF(G187="",0.47,H187+1)</f>
        <v>185.47</v>
      </c>
    </row>
    <row r="189" spans="1:8" x14ac:dyDescent="0.25">
      <c r="A189" s="27"/>
      <c r="B189" t="s">
        <v>418</v>
      </c>
      <c r="C189" t="s">
        <v>419</v>
      </c>
      <c r="E189" t="str">
        <f>B189&amp;" "&amp;C189</f>
        <v>KOMENGDI TARAMBAYE ARNAUD 22V2463</v>
      </c>
      <c r="F189">
        <v>38</v>
      </c>
      <c r="G189">
        <f>AVERAGE(F:F)</f>
        <v>28.629139072847682</v>
      </c>
      <c r="H189">
        <f>IF(G188="",0.47,H188+1)</f>
        <v>186.47</v>
      </c>
    </row>
    <row r="190" spans="1:8" x14ac:dyDescent="0.25">
      <c r="A190" s="27"/>
      <c r="B190" t="s">
        <v>420</v>
      </c>
      <c r="C190" t="s">
        <v>421</v>
      </c>
      <c r="E190" t="str">
        <f>B190&amp;" "&amp;C190</f>
        <v>DJETATOROMBAYE MBAÏGUEDEM 22U2460</v>
      </c>
      <c r="F190">
        <v>34</v>
      </c>
      <c r="G190">
        <f>AVERAGE(F:F)</f>
        <v>28.629139072847682</v>
      </c>
      <c r="H190">
        <f>IF(G189="",0.47,H189+1)</f>
        <v>187.47</v>
      </c>
    </row>
    <row r="191" spans="1:8" x14ac:dyDescent="0.25">
      <c r="A191" s="27"/>
      <c r="B191" t="s">
        <v>422</v>
      </c>
      <c r="C191" t="s">
        <v>423</v>
      </c>
      <c r="E191" t="str">
        <f>B191&amp;" "&amp;C191</f>
        <v>ACHE LAMA MOGAYE 22U2563</v>
      </c>
      <c r="F191">
        <v>26</v>
      </c>
      <c r="G191">
        <f>AVERAGE(F:F)</f>
        <v>28.629139072847682</v>
      </c>
      <c r="H191">
        <f>IF(G190="",0.47,H190+1)</f>
        <v>188.47</v>
      </c>
    </row>
    <row r="192" spans="1:8" x14ac:dyDescent="0.25">
      <c r="A192" s="27"/>
      <c r="B192" t="s">
        <v>424</v>
      </c>
      <c r="C192" t="s">
        <v>425</v>
      </c>
      <c r="E192" t="str">
        <f>B192&amp;" "&amp;C192</f>
        <v>MAHAMAT SALEH MAHAMOUD 22V2655</v>
      </c>
      <c r="F192">
        <v>30</v>
      </c>
      <c r="G192">
        <f>AVERAGE(F:F)</f>
        <v>28.629139072847682</v>
      </c>
      <c r="H192">
        <f>IF(G191="",0.47,H191+1)</f>
        <v>189.47</v>
      </c>
    </row>
    <row r="193" spans="1:8" x14ac:dyDescent="0.25">
      <c r="A193" s="27"/>
      <c r="B193" t="s">
        <v>426</v>
      </c>
      <c r="C193" t="s">
        <v>427</v>
      </c>
      <c r="E193" t="str">
        <f>B193&amp;" "&amp;C193</f>
        <v>EBONG KELLY ELLEH 22N2319</v>
      </c>
      <c r="F193">
        <v>32</v>
      </c>
      <c r="G193">
        <f>AVERAGE(F:F)</f>
        <v>28.629139072847682</v>
      </c>
      <c r="H193">
        <f>IF(G192="",0.47,H192+1)</f>
        <v>190.47</v>
      </c>
    </row>
    <row r="194" spans="1:8" x14ac:dyDescent="0.25">
      <c r="A194" s="27"/>
      <c r="B194" t="s">
        <v>428</v>
      </c>
      <c r="C194" t="s">
        <v>429</v>
      </c>
      <c r="E194" t="str">
        <f>B194&amp;" "&amp;C194</f>
        <v>AINAMOU DJAMBA FREDERIC 22K2802</v>
      </c>
      <c r="F194">
        <v>30</v>
      </c>
      <c r="G194">
        <f>AVERAGE(F:F)</f>
        <v>28.629139072847682</v>
      </c>
      <c r="H194">
        <f>IF(G193="",0.47,H193+1)</f>
        <v>191.47</v>
      </c>
    </row>
    <row r="195" spans="1:8" x14ac:dyDescent="0.25">
      <c r="A195" s="27"/>
      <c r="B195" t="s">
        <v>430</v>
      </c>
      <c r="C195" t="s">
        <v>431</v>
      </c>
      <c r="E195" t="str">
        <f>B195&amp;" "&amp;C195</f>
        <v>ABONDO MINKOUMOU STEVIE MYRICE 22O2728</v>
      </c>
      <c r="F195">
        <v>34</v>
      </c>
      <c r="G195">
        <f>AVERAGE(F:F)</f>
        <v>28.629139072847682</v>
      </c>
      <c r="H195">
        <f>IF(G194="",0.47,H194+1)</f>
        <v>192.47</v>
      </c>
    </row>
    <row r="196" spans="1:8" x14ac:dyDescent="0.25">
      <c r="A196" s="27"/>
      <c r="B196" t="s">
        <v>432</v>
      </c>
      <c r="C196" t="s">
        <v>433</v>
      </c>
      <c r="E196" t="str">
        <f>B196&amp;" "&amp;C196</f>
        <v>KANKAM KAMGA JESSICA DANIELLA 22R2610</v>
      </c>
      <c r="F196">
        <v>26</v>
      </c>
      <c r="G196">
        <f>AVERAGE(F:F)</f>
        <v>28.629139072847682</v>
      </c>
      <c r="H196">
        <f>IF(G195="",0.47,H195+1)</f>
        <v>193.47</v>
      </c>
    </row>
    <row r="197" spans="1:8" x14ac:dyDescent="0.25">
      <c r="A197" s="27"/>
      <c r="B197" t="s">
        <v>434</v>
      </c>
      <c r="C197" t="s">
        <v>435</v>
      </c>
      <c r="E197" t="str">
        <f>B197&amp;" "&amp;C197</f>
        <v>AÏKOMOU GILBERT 22T2387</v>
      </c>
      <c r="F197">
        <v>32</v>
      </c>
      <c r="G197">
        <f>AVERAGE(F:F)</f>
        <v>28.629139072847682</v>
      </c>
      <c r="H197">
        <f>IF(G196="",0.47,H196+1)</f>
        <v>194.47</v>
      </c>
    </row>
    <row r="198" spans="1:8" x14ac:dyDescent="0.25">
      <c r="A198" s="27"/>
      <c r="B198" t="s">
        <v>436</v>
      </c>
      <c r="C198" t="s">
        <v>437</v>
      </c>
      <c r="E198" t="str">
        <f>B198&amp;" "&amp;C198</f>
        <v>MEKUI MENYE MARIE ROSANGE THAMAR 22N2693</v>
      </c>
      <c r="F198">
        <v>20</v>
      </c>
      <c r="G198">
        <f>AVERAGE(F:F)</f>
        <v>28.629139072847682</v>
      </c>
      <c r="H198">
        <f>IF(G197="",0.47,H197+1)</f>
        <v>195.47</v>
      </c>
    </row>
    <row r="199" spans="1:8" x14ac:dyDescent="0.25">
      <c r="A199" s="27"/>
      <c r="B199" t="s">
        <v>438</v>
      </c>
      <c r="C199" t="s">
        <v>439</v>
      </c>
      <c r="E199" t="str">
        <f>B199&amp;" "&amp;C199</f>
        <v>MEKOUWA DJOMO DANIELLE 22R2983</v>
      </c>
      <c r="F199">
        <v>32</v>
      </c>
      <c r="G199">
        <f>AVERAGE(F:F)</f>
        <v>28.629139072847682</v>
      </c>
      <c r="H199">
        <f>IF(G198="",0.47,H198+1)</f>
        <v>196.47</v>
      </c>
    </row>
    <row r="200" spans="1:8" x14ac:dyDescent="0.25">
      <c r="A200" s="27"/>
      <c r="B200" t="s">
        <v>440</v>
      </c>
      <c r="C200" t="s">
        <v>441</v>
      </c>
      <c r="E200" t="str">
        <f>B200&amp;" "&amp;C200</f>
        <v>JLI ANNTIONATE LOH 20V2662</v>
      </c>
      <c r="F200">
        <v>26</v>
      </c>
      <c r="G200">
        <f>AVERAGE(F:F)</f>
        <v>28.629139072847682</v>
      </c>
      <c r="H200">
        <f>IF(G199="",0.47,H199+1)</f>
        <v>197.47</v>
      </c>
    </row>
    <row r="201" spans="1:8" x14ac:dyDescent="0.25">
      <c r="A201" s="27"/>
      <c r="B201" t="s">
        <v>442</v>
      </c>
      <c r="C201" t="s">
        <v>443</v>
      </c>
      <c r="E201" t="str">
        <f>B201&amp;" "&amp;C201</f>
        <v>MBAMBA IDRISSOU 22R2917</v>
      </c>
      <c r="F201">
        <v>20</v>
      </c>
      <c r="G201">
        <f>AVERAGE(F:F)</f>
        <v>28.629139072847682</v>
      </c>
      <c r="H201">
        <f>IF(G200="",0.47,H200+1)</f>
        <v>198.47</v>
      </c>
    </row>
    <row r="202" spans="1:8" x14ac:dyDescent="0.25">
      <c r="A202" s="27"/>
      <c r="B202" t="s">
        <v>444</v>
      </c>
      <c r="C202" t="s">
        <v>445</v>
      </c>
      <c r="E202" t="str">
        <f>B202&amp;" "&amp;C202</f>
        <v>BIKOMO BENI TEDDY 21O2309</v>
      </c>
      <c r="F202">
        <v>30</v>
      </c>
      <c r="G202">
        <f>AVERAGE(F:F)</f>
        <v>28.629139072847682</v>
      </c>
      <c r="H202">
        <f>IF(G201="",0.47,H201+1)</f>
        <v>199.47</v>
      </c>
    </row>
    <row r="203" spans="1:8" x14ac:dyDescent="0.25">
      <c r="A203" s="27"/>
      <c r="B203" t="s">
        <v>446</v>
      </c>
      <c r="C203" t="s">
        <v>447</v>
      </c>
      <c r="E203" t="str">
        <f>B203&amp;" "&amp;C203</f>
        <v>MFOULOU MFOULOU VANESSA 21L2216</v>
      </c>
      <c r="F203">
        <v>34</v>
      </c>
      <c r="G203">
        <f>AVERAGE(F:F)</f>
        <v>28.629139072847682</v>
      </c>
      <c r="H203">
        <f>IF(G202="",0.47,H202+1)</f>
        <v>200.47</v>
      </c>
    </row>
    <row r="204" spans="1:8" x14ac:dyDescent="0.25">
      <c r="A204" s="27"/>
      <c r="B204" t="s">
        <v>448</v>
      </c>
      <c r="C204" t="s">
        <v>449</v>
      </c>
      <c r="E204" t="str">
        <f>B204&amp;" "&amp;C204</f>
        <v>MAFFODJEU NGOUA ADRIENNE 22T2474</v>
      </c>
      <c r="F204">
        <v>32</v>
      </c>
      <c r="G204">
        <f>AVERAGE(F:F)</f>
        <v>28.629139072847682</v>
      </c>
      <c r="H204">
        <f>IF(G203="",0.47,H203+1)</f>
        <v>201.47</v>
      </c>
    </row>
    <row r="205" spans="1:8" x14ac:dyDescent="0.25">
      <c r="A205" s="27"/>
      <c r="B205" t="s">
        <v>450</v>
      </c>
      <c r="C205" t="s">
        <v>451</v>
      </c>
      <c r="E205" t="str">
        <f>B205&amp;" "&amp;C205</f>
        <v>DJIBRINE TAHIR ATEIB 22U2474</v>
      </c>
      <c r="F205">
        <v>30</v>
      </c>
      <c r="G205">
        <f>AVERAGE(F:F)</f>
        <v>28.629139072847682</v>
      </c>
      <c r="H205">
        <f>IF(G204="",0.47,H204+1)</f>
        <v>202.47</v>
      </c>
    </row>
    <row r="206" spans="1:8" x14ac:dyDescent="0.25">
      <c r="A206" s="27"/>
      <c r="B206" t="s">
        <v>452</v>
      </c>
      <c r="C206" t="s">
        <v>453</v>
      </c>
      <c r="E206" t="str">
        <f>B206&amp;" "&amp;C206</f>
        <v>AGHO ALEX LUH 21L2985</v>
      </c>
      <c r="F206">
        <v>28</v>
      </c>
      <c r="G206">
        <f>AVERAGE(F:F)</f>
        <v>28.629139072847682</v>
      </c>
      <c r="H206">
        <f>IF(G205="",0.47,H205+1)</f>
        <v>203.47</v>
      </c>
    </row>
    <row r="207" spans="1:8" x14ac:dyDescent="0.25">
      <c r="A207" s="27"/>
      <c r="B207" t="s">
        <v>454</v>
      </c>
      <c r="C207" t="s">
        <v>455</v>
      </c>
      <c r="E207" t="str">
        <f>B207&amp;" "&amp;C207</f>
        <v>MFOULOU BRENDA PASSY 22Q2652</v>
      </c>
      <c r="F207">
        <v>32</v>
      </c>
      <c r="G207">
        <f>AVERAGE(F:F)</f>
        <v>28.629139072847682</v>
      </c>
      <c r="H207">
        <f>IF(G206="",0.47,H206+1)</f>
        <v>204.47</v>
      </c>
    </row>
    <row r="208" spans="1:8" x14ac:dyDescent="0.25">
      <c r="A208" s="27"/>
      <c r="B208" t="s">
        <v>456</v>
      </c>
      <c r="C208" t="s">
        <v>457</v>
      </c>
      <c r="E208" t="str">
        <f>B208&amp;" "&amp;C208</f>
        <v>ADIDAI MICHAELA 22V2025</v>
      </c>
      <c r="F208">
        <v>28</v>
      </c>
      <c r="G208">
        <f>AVERAGE(F:F)</f>
        <v>28.629139072847682</v>
      </c>
      <c r="H208">
        <f>IF(G207="",0.47,H207+1)</f>
        <v>205.47</v>
      </c>
    </row>
    <row r="209" spans="1:8" x14ac:dyDescent="0.25">
      <c r="A209" s="27"/>
      <c r="B209" t="s">
        <v>458</v>
      </c>
      <c r="C209" t="s">
        <v>459</v>
      </c>
      <c r="E209" t="str">
        <f>B209&amp;" "&amp;C209</f>
        <v>MBAIHONDOUM ALDEMBAYE  22V2657</v>
      </c>
      <c r="F209">
        <v>28</v>
      </c>
      <c r="G209">
        <f>AVERAGE(F:F)</f>
        <v>28.629139072847682</v>
      </c>
      <c r="H209">
        <f>IF(G208="",0.47,H208+1)</f>
        <v>206.47</v>
      </c>
    </row>
    <row r="210" spans="1:8" x14ac:dyDescent="0.25">
      <c r="A210" s="27"/>
      <c r="B210" t="s">
        <v>460</v>
      </c>
      <c r="C210" t="s">
        <v>461</v>
      </c>
      <c r="E210" t="str">
        <f>B210&amp;" "&amp;C210</f>
        <v>BITJEKI ETOTOE PAULNIA MAZAL 22K2676</v>
      </c>
      <c r="F210">
        <v>30</v>
      </c>
      <c r="G210">
        <f>AVERAGE(F:F)</f>
        <v>28.629139072847682</v>
      </c>
      <c r="H210">
        <f>IF(G209="",0.47,H209+1)</f>
        <v>207.47</v>
      </c>
    </row>
    <row r="211" spans="1:8" x14ac:dyDescent="0.25">
      <c r="A211" s="27"/>
      <c r="B211" t="s">
        <v>462</v>
      </c>
      <c r="C211" t="s">
        <v>463</v>
      </c>
      <c r="E211" t="str">
        <f>B211&amp;" "&amp;C211</f>
        <v>ABOUZER DALILA NADIRA YAMGOUOT 22O2377</v>
      </c>
      <c r="F211">
        <v>34</v>
      </c>
      <c r="G211">
        <f>AVERAGE(F:F)</f>
        <v>28.629139072847682</v>
      </c>
      <c r="H211">
        <f>IF(G210="",0.47,H210+1)</f>
        <v>208.47</v>
      </c>
    </row>
    <row r="212" spans="1:8" x14ac:dyDescent="0.25">
      <c r="A212" s="27"/>
      <c r="B212" t="s">
        <v>464</v>
      </c>
      <c r="C212" t="s">
        <v>465</v>
      </c>
      <c r="E212" t="str">
        <f>B212&amp;" "&amp;C212</f>
        <v>HAMIT KOCHI NGUILI 22S2803</v>
      </c>
      <c r="F212">
        <v>30</v>
      </c>
      <c r="G212">
        <f>AVERAGE(F:F)</f>
        <v>28.629139072847682</v>
      </c>
      <c r="H212">
        <f>IF(G211="",0.47,H211+1)</f>
        <v>209.47</v>
      </c>
    </row>
    <row r="213" spans="1:8" x14ac:dyDescent="0.25">
      <c r="A213" s="27"/>
      <c r="B213" t="s">
        <v>466</v>
      </c>
      <c r="C213" t="s">
        <v>467</v>
      </c>
      <c r="E213" t="str">
        <f>B213&amp;" "&amp;C213</f>
        <v>EKOSSO EBANDA ANNIE VANELLE  22O2314</v>
      </c>
      <c r="F213">
        <v>40</v>
      </c>
      <c r="G213">
        <f>AVERAGE(F:F)</f>
        <v>28.629139072847682</v>
      </c>
      <c r="H213">
        <f>IF(G212="",0.47,H212+1)</f>
        <v>210.47</v>
      </c>
    </row>
    <row r="214" spans="1:8" x14ac:dyDescent="0.25">
      <c r="A214" s="27"/>
      <c r="B214" t="s">
        <v>468</v>
      </c>
      <c r="C214" t="s">
        <v>469</v>
      </c>
      <c r="E214" t="str">
        <f>B214&amp;" "&amp;C214</f>
        <v>EMAN MAVIAN RONAUD 20L2758</v>
      </c>
      <c r="F214">
        <v>28</v>
      </c>
      <c r="G214">
        <f>AVERAGE(F:F)</f>
        <v>28.629139072847682</v>
      </c>
      <c r="H214">
        <f>IF(G213="",0.47,H213+1)</f>
        <v>211.47</v>
      </c>
    </row>
    <row r="215" spans="1:8" x14ac:dyDescent="0.25">
      <c r="A215" s="27"/>
      <c r="B215" t="s">
        <v>470</v>
      </c>
      <c r="C215" t="s">
        <v>471</v>
      </c>
      <c r="E215" t="str">
        <f>B215&amp;" "&amp;C215</f>
        <v>DJABOU MIAPIECK CINDY DANIELLA 22Q2349</v>
      </c>
      <c r="F215">
        <v>28</v>
      </c>
      <c r="G215">
        <f>AVERAGE(F:F)</f>
        <v>28.629139072847682</v>
      </c>
      <c r="H215">
        <f>IF(G214="",0.47,H214+1)</f>
        <v>212.47</v>
      </c>
    </row>
    <row r="216" spans="1:8" x14ac:dyDescent="0.25">
      <c r="A216" s="27"/>
      <c r="B216" t="s">
        <v>472</v>
      </c>
      <c r="C216" t="s">
        <v>473</v>
      </c>
      <c r="E216" t="str">
        <f>B216&amp;" "&amp;C216</f>
        <v>MBAINGUEM OSCAR 22Q2705</v>
      </c>
      <c r="F216">
        <v>32</v>
      </c>
      <c r="G216">
        <f>AVERAGE(F:F)</f>
        <v>28.629139072847682</v>
      </c>
      <c r="H216">
        <f>IF(G215="",0.47,H215+1)</f>
        <v>213.47</v>
      </c>
    </row>
    <row r="217" spans="1:8" x14ac:dyDescent="0.25">
      <c r="A217" s="27"/>
      <c r="B217" t="s">
        <v>474</v>
      </c>
      <c r="C217" t="s">
        <v>475</v>
      </c>
      <c r="E217" t="str">
        <f>B217&amp;" "&amp;C217</f>
        <v>BEAM DJIMMY 22T2749</v>
      </c>
      <c r="F217">
        <v>30</v>
      </c>
      <c r="G217">
        <f>AVERAGE(F:F)</f>
        <v>28.629139072847682</v>
      </c>
      <c r="H217">
        <f>IF(G216="",0.47,H216+1)</f>
        <v>214.47</v>
      </c>
    </row>
    <row r="218" spans="1:8" x14ac:dyDescent="0.25">
      <c r="A218" s="27"/>
      <c r="B218" t="s">
        <v>476</v>
      </c>
      <c r="C218" t="s">
        <v>477</v>
      </c>
      <c r="E218" t="str">
        <f>B218&amp;" "&amp;C218</f>
        <v>BESSALA EVA DAVID JUNIOR 22R2256</v>
      </c>
      <c r="F218">
        <v>28</v>
      </c>
      <c r="G218">
        <f>AVERAGE(F:F)</f>
        <v>28.629139072847682</v>
      </c>
      <c r="H218">
        <f>IF(G217="",0.47,H217+1)</f>
        <v>215.47</v>
      </c>
    </row>
    <row r="219" spans="1:8" x14ac:dyDescent="0.25">
      <c r="A219" s="27"/>
      <c r="B219" t="s">
        <v>478</v>
      </c>
      <c r="C219" t="s">
        <v>479</v>
      </c>
      <c r="E219" t="str">
        <f>B219&amp;" "&amp;C219</f>
        <v>FOGAM FEGUE ROLLINGS 21L2770</v>
      </c>
      <c r="F219">
        <v>28</v>
      </c>
      <c r="G219">
        <f>AVERAGE(F:F)</f>
        <v>28.629139072847682</v>
      </c>
      <c r="H219">
        <f>IF(G218="",0.47,H218+1)</f>
        <v>216.47</v>
      </c>
    </row>
    <row r="220" spans="1:8" x14ac:dyDescent="0.25">
      <c r="A220" s="27"/>
      <c r="B220" t="s">
        <v>480</v>
      </c>
      <c r="C220" t="s">
        <v>481</v>
      </c>
      <c r="E220" t="str">
        <f>B220&amp;" "&amp;C220</f>
        <v>LEKA NKOA FRANCIS AIME 22Q2174</v>
      </c>
      <c r="F220">
        <v>34</v>
      </c>
      <c r="G220">
        <f>AVERAGE(F:F)</f>
        <v>28.629139072847682</v>
      </c>
      <c r="H220">
        <f>IF(G219="",0.47,H219+1)</f>
        <v>217.47</v>
      </c>
    </row>
    <row r="221" spans="1:8" x14ac:dyDescent="0.25">
      <c r="A221" s="27"/>
      <c r="B221" t="s">
        <v>482</v>
      </c>
      <c r="C221" t="s">
        <v>483</v>
      </c>
      <c r="E221" t="str">
        <f>B221&amp;" "&amp;C221</f>
        <v>MAGNE DJOUHO ANGE ARIELLE 22K2746</v>
      </c>
      <c r="F221">
        <v>30</v>
      </c>
      <c r="G221">
        <f>AVERAGE(F:F)</f>
        <v>28.629139072847682</v>
      </c>
      <c r="H221">
        <f>IF(G220="",0.47,H220+1)</f>
        <v>218.47</v>
      </c>
    </row>
    <row r="222" spans="1:8" x14ac:dyDescent="0.25">
      <c r="A222" s="27"/>
      <c r="B222" t="s">
        <v>484</v>
      </c>
      <c r="C222" t="s">
        <v>485</v>
      </c>
      <c r="E222" t="str">
        <f>B222&amp;" "&amp;C222</f>
        <v>KATEU DJUIFO KORALLY FLEUR 22T2584</v>
      </c>
      <c r="F222">
        <v>28</v>
      </c>
      <c r="G222">
        <f>AVERAGE(F:F)</f>
        <v>28.629139072847682</v>
      </c>
      <c r="H222">
        <f>IF(G221="",0.47,H221+1)</f>
        <v>219.47</v>
      </c>
    </row>
    <row r="223" spans="1:8" x14ac:dyDescent="0.25">
      <c r="A223" s="27"/>
      <c r="B223" t="s">
        <v>486</v>
      </c>
      <c r="C223" t="s">
        <v>487</v>
      </c>
      <c r="E223" t="str">
        <f>B223&amp;" "&amp;C223</f>
        <v>BABA KOULASSI CHRIST GERARD 22O2692</v>
      </c>
      <c r="F223">
        <v>16</v>
      </c>
      <c r="G223">
        <f>AVERAGE(F:F)</f>
        <v>28.629139072847682</v>
      </c>
      <c r="H223">
        <f>IF(G222="",0.47,H222+1)</f>
        <v>220.47</v>
      </c>
    </row>
    <row r="224" spans="1:8" x14ac:dyDescent="0.25">
      <c r="A224" s="27"/>
      <c r="B224" t="s">
        <v>488</v>
      </c>
      <c r="C224" t="s">
        <v>489</v>
      </c>
      <c r="E224" t="str">
        <f>B224&amp;" "&amp;C224</f>
        <v>MAHAMAT SALEH HAMBALI 22T2788</v>
      </c>
      <c r="F224">
        <v>30</v>
      </c>
      <c r="G224">
        <f>AVERAGE(F:F)</f>
        <v>28.629139072847682</v>
      </c>
      <c r="H224">
        <f>IF(G223="",0.47,H223+1)</f>
        <v>221.47</v>
      </c>
    </row>
    <row r="225" spans="1:8" x14ac:dyDescent="0.25">
      <c r="A225" s="27"/>
      <c r="B225" t="s">
        <v>490</v>
      </c>
      <c r="C225" t="s">
        <v>491</v>
      </c>
      <c r="E225" t="str">
        <f>B225&amp;" "&amp;C225</f>
        <v>MENYENGUE NDOUNA SUZANNE LETICIA 22K2562</v>
      </c>
      <c r="F225">
        <v>34</v>
      </c>
      <c r="G225">
        <f>AVERAGE(F:F)</f>
        <v>28.629139072847682</v>
      </c>
      <c r="H225">
        <f>IF(G224="",0.47,H224+1)</f>
        <v>222.47</v>
      </c>
    </row>
    <row r="226" spans="1:8" x14ac:dyDescent="0.25">
      <c r="A226" s="27"/>
      <c r="B226" t="s">
        <v>492</v>
      </c>
      <c r="C226" t="s">
        <v>493</v>
      </c>
      <c r="E226" t="str">
        <f>B226&amp;" "&amp;C226</f>
        <v>KEMOGNE KOUAM GAUTIER 22U2640</v>
      </c>
      <c r="F226">
        <v>28</v>
      </c>
      <c r="G226">
        <f>AVERAGE(F:F)</f>
        <v>28.629139072847682</v>
      </c>
      <c r="H226">
        <f>IF(G225="",0.47,H225+1)</f>
        <v>223.47</v>
      </c>
    </row>
    <row r="227" spans="1:8" x14ac:dyDescent="0.25">
      <c r="A227" s="27"/>
      <c r="B227" t="s">
        <v>494</v>
      </c>
      <c r="C227" t="s">
        <v>495</v>
      </c>
      <c r="E227" t="str">
        <f>B227&amp;" "&amp;C227</f>
        <v>BINGAN SAMUEL AUGUSTIN 22V2056</v>
      </c>
      <c r="F227">
        <v>34</v>
      </c>
      <c r="G227">
        <f>AVERAGE(F:F)</f>
        <v>28.629139072847682</v>
      </c>
      <c r="H227">
        <f>IF(G226="",0.47,H226+1)</f>
        <v>224.47</v>
      </c>
    </row>
    <row r="228" spans="1:8" x14ac:dyDescent="0.25">
      <c r="A228" s="27"/>
      <c r="B228" t="s">
        <v>496</v>
      </c>
      <c r="C228" t="s">
        <v>497</v>
      </c>
      <c r="E228" t="str">
        <f>B228&amp;" "&amp;C228</f>
        <v>BEKONO MONIQUE UGUETTE 22N2627</v>
      </c>
      <c r="F228">
        <v>24</v>
      </c>
      <c r="G228">
        <f>AVERAGE(F:F)</f>
        <v>28.629139072847682</v>
      </c>
      <c r="H228">
        <f>IF(G227="",0.47,H227+1)</f>
        <v>225.47</v>
      </c>
    </row>
    <row r="229" spans="1:8" x14ac:dyDescent="0.25">
      <c r="A229" s="27"/>
      <c r="B229" t="s">
        <v>498</v>
      </c>
      <c r="C229" t="s">
        <v>499</v>
      </c>
      <c r="E229" t="str">
        <f>B229&amp;" "&amp;C229</f>
        <v>BILOA EYENGA SABINE LESLIE 22T2381</v>
      </c>
      <c r="F229">
        <v>24</v>
      </c>
      <c r="G229">
        <f>AVERAGE(F:F)</f>
        <v>28.629139072847682</v>
      </c>
      <c r="H229">
        <f>IF(G228="",0.47,H228+1)</f>
        <v>226.47</v>
      </c>
    </row>
    <row r="230" spans="1:8" x14ac:dyDescent="0.25">
      <c r="A230" s="27"/>
      <c r="B230" t="s">
        <v>500</v>
      </c>
      <c r="C230" t="s">
        <v>501</v>
      </c>
      <c r="E230" t="str">
        <f>B230&amp;" "&amp;C230</f>
        <v>ALOO ALOO NAVARO 22R2948</v>
      </c>
      <c r="F230">
        <v>30</v>
      </c>
      <c r="G230">
        <f>AVERAGE(F:F)</f>
        <v>28.629139072847682</v>
      </c>
      <c r="H230">
        <f>IF(G229="",0.47,H229+1)</f>
        <v>227.47</v>
      </c>
    </row>
    <row r="231" spans="1:8" x14ac:dyDescent="0.25">
      <c r="A231" s="27"/>
      <c r="B231" t="s">
        <v>502</v>
      </c>
      <c r="C231" t="s">
        <v>503</v>
      </c>
      <c r="E231" t="str">
        <f>B231&amp;" "&amp;C231</f>
        <v>BITYE NYANGONO ELYSEE  22S2300</v>
      </c>
      <c r="F231">
        <v>20</v>
      </c>
      <c r="G231">
        <f>AVERAGE(F:F)</f>
        <v>28.629139072847682</v>
      </c>
      <c r="H231">
        <f>IF(G230="",0.47,H230+1)</f>
        <v>228.47</v>
      </c>
    </row>
    <row r="232" spans="1:8" x14ac:dyDescent="0.25">
      <c r="A232" s="27"/>
      <c r="B232" t="s">
        <v>504</v>
      </c>
      <c r="C232" t="s">
        <v>505</v>
      </c>
      <c r="E232" t="str">
        <f>B232&amp;" "&amp;C232</f>
        <v>KUEFEU TCHINDA JUNIOR 22K2847</v>
      </c>
      <c r="F232">
        <v>34</v>
      </c>
      <c r="G232">
        <f>AVERAGE(F:F)</f>
        <v>28.629139072847682</v>
      </c>
      <c r="H232">
        <f>IF(G231="",0.47,H231+1)</f>
        <v>229.47</v>
      </c>
    </row>
    <row r="233" spans="1:8" x14ac:dyDescent="0.25">
      <c r="A233" s="27"/>
      <c r="B233" t="s">
        <v>506</v>
      </c>
      <c r="C233" t="s">
        <v>507</v>
      </c>
      <c r="E233" t="str">
        <f>B233&amp;" "&amp;C233</f>
        <v>ASSANA A KEDI ALBERTE CHRISTY 22Q2463</v>
      </c>
      <c r="F233">
        <v>28</v>
      </c>
      <c r="G233">
        <f>AVERAGE(F:F)</f>
        <v>28.629139072847682</v>
      </c>
      <c r="H233">
        <f>IF(G232="",0.47,H232+1)</f>
        <v>230.47</v>
      </c>
    </row>
    <row r="234" spans="1:8" x14ac:dyDescent="0.25">
      <c r="A234" s="27"/>
      <c r="B234" t="s">
        <v>508</v>
      </c>
      <c r="C234" t="s">
        <v>509</v>
      </c>
      <c r="E234" t="str">
        <f>B234&amp;" "&amp;C234</f>
        <v>MADJO ANACLETTE LAURENE 22Q2647</v>
      </c>
      <c r="F234">
        <v>20</v>
      </c>
      <c r="G234">
        <f>AVERAGE(F:F)</f>
        <v>28.629139072847682</v>
      </c>
      <c r="H234">
        <f>IF(G233="",0.47,H233+1)</f>
        <v>231.47</v>
      </c>
    </row>
    <row r="235" spans="1:8" x14ac:dyDescent="0.25">
      <c r="A235" s="27"/>
      <c r="B235" t="s">
        <v>510</v>
      </c>
      <c r="C235" t="s">
        <v>511</v>
      </c>
      <c r="E235" t="str">
        <f>B235&amp;" "&amp;C235</f>
        <v>DJIMBE SEMBONG HENRIETTE NELLY 22O2731</v>
      </c>
      <c r="F235">
        <v>30</v>
      </c>
      <c r="G235">
        <f>AVERAGE(F:F)</f>
        <v>28.629139072847682</v>
      </c>
      <c r="H235">
        <f>IF(G234="",0.47,H234+1)</f>
        <v>232.47</v>
      </c>
    </row>
    <row r="236" spans="1:8" x14ac:dyDescent="0.25">
      <c r="A236" s="27"/>
      <c r="B236" t="s">
        <v>512</v>
      </c>
      <c r="C236" t="s">
        <v>513</v>
      </c>
      <c r="E236" t="str">
        <f>B236&amp;" "&amp;C236</f>
        <v>BALEGUEL JEAN DAVID ROI 22S2636</v>
      </c>
      <c r="F236">
        <v>16</v>
      </c>
      <c r="G236">
        <f>AVERAGE(F:F)</f>
        <v>28.629139072847682</v>
      </c>
      <c r="H236">
        <f>IF(G235="",0.47,H235+1)</f>
        <v>233.47</v>
      </c>
    </row>
    <row r="237" spans="1:8" x14ac:dyDescent="0.25">
      <c r="A237" s="27"/>
      <c r="B237" t="s">
        <v>514</v>
      </c>
      <c r="C237" t="s">
        <v>515</v>
      </c>
      <c r="E237" t="str">
        <f>B237&amp;" "&amp;C237</f>
        <v>MBIDA ARNAUD  21N2957</v>
      </c>
      <c r="F237">
        <v>16</v>
      </c>
      <c r="G237">
        <f>AVERAGE(F:F)</f>
        <v>28.629139072847682</v>
      </c>
      <c r="H237">
        <f>IF(G236="",0.47,H236+1)</f>
        <v>234.47</v>
      </c>
    </row>
    <row r="238" spans="1:8" x14ac:dyDescent="0.25">
      <c r="A238" s="27"/>
      <c r="B238" t="s">
        <v>516</v>
      </c>
      <c r="C238" t="s">
        <v>517</v>
      </c>
      <c r="E238" t="str">
        <f>B238&amp;" "&amp;C238</f>
        <v>AMBASSA NDJEBA AMELIE ELVIRA 22O2206</v>
      </c>
      <c r="F238">
        <v>26</v>
      </c>
      <c r="G238">
        <f>AVERAGE(F:F)</f>
        <v>28.629139072847682</v>
      </c>
      <c r="H238">
        <f>IF(G237="",0.47,H237+1)</f>
        <v>235.47</v>
      </c>
    </row>
    <row r="239" spans="1:8" x14ac:dyDescent="0.25">
      <c r="A239" s="27"/>
      <c r="B239" t="s">
        <v>518</v>
      </c>
      <c r="C239" t="s">
        <v>519</v>
      </c>
      <c r="E239" t="str">
        <f>B239&amp;" "&amp;C239</f>
        <v>ALLARAMADJI MBERKOUBOU PRUDENT 21N2956</v>
      </c>
      <c r="F239">
        <v>32</v>
      </c>
      <c r="G239">
        <f>AVERAGE(F:F)</f>
        <v>28.629139072847682</v>
      </c>
      <c r="H239">
        <f>IF(G238="",0.47,H238+1)</f>
        <v>236.47</v>
      </c>
    </row>
    <row r="240" spans="1:8" x14ac:dyDescent="0.25">
      <c r="A240" s="27"/>
      <c r="B240" t="s">
        <v>520</v>
      </c>
      <c r="C240" t="s">
        <v>521</v>
      </c>
      <c r="E240" t="str">
        <f>B240&amp;" "&amp;C240</f>
        <v>MACHEGA PRINCESSE ERIKA 22V2836</v>
      </c>
      <c r="F240">
        <v>30</v>
      </c>
      <c r="G240">
        <f>AVERAGE(F:F)</f>
        <v>28.629139072847682</v>
      </c>
      <c r="H240">
        <f>IF(G239="",0.47,H239+1)</f>
        <v>237.47</v>
      </c>
    </row>
    <row r="241" spans="1:8" x14ac:dyDescent="0.25">
      <c r="A241" s="27"/>
      <c r="B241" t="s">
        <v>522</v>
      </c>
      <c r="C241" t="s">
        <v>523</v>
      </c>
      <c r="E241" t="str">
        <f>B241&amp;" "&amp;C241</f>
        <v>AMINE ABDOULAYE BOUSSOU 22V2752</v>
      </c>
      <c r="F241">
        <v>30</v>
      </c>
      <c r="G241">
        <f>AVERAGE(F:F)</f>
        <v>28.629139072847682</v>
      </c>
      <c r="H241">
        <f>IF(G240="",0.47,H240+1)</f>
        <v>238.47</v>
      </c>
    </row>
    <row r="242" spans="1:8" x14ac:dyDescent="0.25">
      <c r="A242" s="27"/>
      <c r="B242" t="s">
        <v>524</v>
      </c>
      <c r="C242" t="s">
        <v>525</v>
      </c>
      <c r="E242" t="str">
        <f>B242&amp;" "&amp;C242</f>
        <v>ATEBA ONDIGUI JEAN  22K2955</v>
      </c>
      <c r="F242">
        <v>20</v>
      </c>
      <c r="G242">
        <f>AVERAGE(F:F)</f>
        <v>28.629139072847682</v>
      </c>
      <c r="H242">
        <f>IF(G241="",0.47,H241+1)</f>
        <v>239.47</v>
      </c>
    </row>
    <row r="243" spans="1:8" x14ac:dyDescent="0.25">
      <c r="A243" s="27"/>
      <c r="B243" t="s">
        <v>526</v>
      </c>
      <c r="C243" t="s">
        <v>527</v>
      </c>
      <c r="E243" t="str">
        <f>B243&amp;" "&amp;C243</f>
        <v>MAFO AWOUKENG ANGE PATRICIA 22K2753</v>
      </c>
      <c r="F243">
        <v>30</v>
      </c>
      <c r="G243">
        <f>AVERAGE(F:F)</f>
        <v>28.629139072847682</v>
      </c>
      <c r="H243">
        <f>IF(G242="",0.47,H242+1)</f>
        <v>240.47</v>
      </c>
    </row>
    <row r="244" spans="1:8" x14ac:dyDescent="0.25">
      <c r="A244" s="27"/>
      <c r="B244" t="s">
        <v>528</v>
      </c>
      <c r="C244" t="s">
        <v>529</v>
      </c>
      <c r="E244" t="str">
        <f>B244&amp;" "&amp;C244</f>
        <v>ABDELRAZIKH ABDELKERIM ABDOULAYE 22T2644</v>
      </c>
      <c r="F244">
        <v>28</v>
      </c>
      <c r="G244">
        <f>AVERAGE(F:F)</f>
        <v>28.629139072847682</v>
      </c>
      <c r="H244">
        <f>IF(G243="",0.47,H243+1)</f>
        <v>241.47</v>
      </c>
    </row>
    <row r="245" spans="1:8" x14ac:dyDescent="0.25">
      <c r="A245" s="27"/>
      <c r="B245" t="s">
        <v>530</v>
      </c>
      <c r="C245" t="s">
        <v>531</v>
      </c>
      <c r="E245" t="str">
        <f>B245&amp;" "&amp;C245</f>
        <v>GANAVA POULDA SIMON 22Q2949</v>
      </c>
      <c r="F245">
        <v>24</v>
      </c>
      <c r="G245">
        <f>AVERAGE(F:F)</f>
        <v>28.629139072847682</v>
      </c>
      <c r="H245">
        <f>IF(G244="",0.47,H244+1)</f>
        <v>242.47</v>
      </c>
    </row>
    <row r="246" spans="1:8" x14ac:dyDescent="0.25">
      <c r="A246" s="27"/>
      <c r="B246" t="s">
        <v>532</v>
      </c>
      <c r="C246" t="s">
        <v>533</v>
      </c>
      <c r="E246" t="str">
        <f>B246&amp;" "&amp;C246</f>
        <v>CHEMEN KAMENI TATIANA KAREN 22O2155</v>
      </c>
      <c r="F246">
        <v>30</v>
      </c>
      <c r="G246">
        <f>AVERAGE(F:F)</f>
        <v>28.629139072847682</v>
      </c>
      <c r="H246">
        <f>IF(G245="",0.47,H245+1)</f>
        <v>243.47</v>
      </c>
    </row>
    <row r="247" spans="1:8" x14ac:dyDescent="0.25">
      <c r="A247" s="27"/>
      <c r="B247" t="s">
        <v>534</v>
      </c>
      <c r="C247" t="s">
        <v>535</v>
      </c>
      <c r="E247" t="str">
        <f>B247&amp;" "&amp;C247</f>
        <v>LINGOM ANNE-SARAH KARIS 22R2307</v>
      </c>
      <c r="F247">
        <v>16</v>
      </c>
      <c r="G247">
        <f>AVERAGE(F:F)</f>
        <v>28.629139072847682</v>
      </c>
      <c r="H247">
        <f>IF(G246="",0.47,H246+1)</f>
        <v>244.47</v>
      </c>
    </row>
    <row r="248" spans="1:8" x14ac:dyDescent="0.25">
      <c r="A248" s="27"/>
      <c r="B248" t="s">
        <v>536</v>
      </c>
      <c r="C248" t="s">
        <v>537</v>
      </c>
      <c r="E248" t="str">
        <f>B248&amp;" "&amp;C248</f>
        <v>MADJIGUI TINAK ELYSEE 20R2486</v>
      </c>
      <c r="F248">
        <v>26</v>
      </c>
      <c r="G248">
        <f>AVERAGE(F:F)</f>
        <v>28.629139072847682</v>
      </c>
      <c r="H248">
        <f>IF(G247="",0.47,H247+1)</f>
        <v>245.47</v>
      </c>
    </row>
    <row r="249" spans="1:8" x14ac:dyDescent="0.25">
      <c r="A249" s="27"/>
      <c r="B249" t="s">
        <v>538</v>
      </c>
      <c r="C249" t="s">
        <v>539</v>
      </c>
      <c r="E249" t="str">
        <f>B249&amp;" "&amp;C249</f>
        <v>EWONDO NOAH ANGE MARIE AGNES 22S2348</v>
      </c>
      <c r="F249">
        <v>36</v>
      </c>
      <c r="G249">
        <f>AVERAGE(F:F)</f>
        <v>28.629139072847682</v>
      </c>
      <c r="H249">
        <f>IF(G248="",0.47,H248+1)</f>
        <v>246.47</v>
      </c>
    </row>
    <row r="250" spans="1:8" x14ac:dyDescent="0.25">
      <c r="A250" s="27"/>
      <c r="B250" t="s">
        <v>540</v>
      </c>
      <c r="C250" t="s">
        <v>541</v>
      </c>
      <c r="E250" t="str">
        <f>B250&amp;" "&amp;C250</f>
        <v>AKOH FILANUS BINWI 21L2880</v>
      </c>
      <c r="F250">
        <v>26</v>
      </c>
      <c r="G250">
        <f>AVERAGE(F:F)</f>
        <v>28.629139072847682</v>
      </c>
      <c r="H250">
        <f>IF(G249="",0.47,H249+1)</f>
        <v>247.47</v>
      </c>
    </row>
    <row r="251" spans="1:8" x14ac:dyDescent="0.25">
      <c r="A251" s="27"/>
      <c r="B251" t="s">
        <v>542</v>
      </c>
      <c r="C251" t="s">
        <v>543</v>
      </c>
      <c r="E251" t="str">
        <f>B251&amp;" "&amp;C251</f>
        <v>DINAMOU AUGUSTE SAWAL 21S2282</v>
      </c>
      <c r="F251">
        <v>26</v>
      </c>
      <c r="G251">
        <f>AVERAGE(F:F)</f>
        <v>28.629139072847682</v>
      </c>
      <c r="H251">
        <f>IF(G250="",0.47,H250+1)</f>
        <v>248.47</v>
      </c>
    </row>
    <row r="252" spans="1:8" x14ac:dyDescent="0.25">
      <c r="A252" s="27"/>
      <c r="B252" t="s">
        <v>544</v>
      </c>
      <c r="C252" t="s">
        <v>545</v>
      </c>
      <c r="E252" t="str">
        <f>B252&amp;" "&amp;C252</f>
        <v>MEINA AMANE SOSTHENE  22V2156</v>
      </c>
      <c r="F252">
        <v>32</v>
      </c>
      <c r="G252">
        <f>AVERAGE(F:F)</f>
        <v>28.629139072847682</v>
      </c>
      <c r="H252">
        <f>IF(G251="",0.47,H251+1)</f>
        <v>249.47</v>
      </c>
    </row>
    <row r="253" spans="1:8" x14ac:dyDescent="0.25">
      <c r="A253" s="27"/>
      <c r="B253" t="s">
        <v>546</v>
      </c>
      <c r="C253" t="s">
        <v>547</v>
      </c>
      <c r="E253" t="str">
        <f>B253&amp;" "&amp;C253</f>
        <v>DJERABE VALENTIN 20K2182</v>
      </c>
      <c r="F253">
        <v>30</v>
      </c>
      <c r="G253">
        <f>AVERAGE(F:F)</f>
        <v>28.629139072847682</v>
      </c>
      <c r="H253">
        <f>IF(G252="",0.47,H252+1)</f>
        <v>250.47</v>
      </c>
    </row>
    <row r="254" spans="1:8" x14ac:dyDescent="0.25">
      <c r="A254" s="27"/>
      <c r="B254" t="s">
        <v>548</v>
      </c>
      <c r="C254" t="s">
        <v>549</v>
      </c>
      <c r="E254" t="str">
        <f>B254&amp;" "&amp;C254</f>
        <v>MINOUGA MOUNDOUBOU ORNELLA LANDRIENNE 22U2442</v>
      </c>
      <c r="F254">
        <v>28</v>
      </c>
      <c r="G254">
        <f>AVERAGE(F:F)</f>
        <v>28.629139072847682</v>
      </c>
      <c r="H254">
        <f>IF(G253="",0.47,H253+1)</f>
        <v>251.47</v>
      </c>
    </row>
    <row r="255" spans="1:8" x14ac:dyDescent="0.25">
      <c r="A255" s="27"/>
      <c r="B255" t="s">
        <v>550</v>
      </c>
      <c r="C255" t="s">
        <v>551</v>
      </c>
      <c r="E255" t="str">
        <f>B255&amp;" "&amp;C255</f>
        <v>MAKOUTCHOUP FONGANG SORELLE ORLINE 22N2204</v>
      </c>
      <c r="F255">
        <v>34</v>
      </c>
      <c r="G255">
        <f>AVERAGE(F:F)</f>
        <v>28.629139072847682</v>
      </c>
      <c r="H255">
        <f>IF(G254="",0.47,H254+1)</f>
        <v>252.47</v>
      </c>
    </row>
    <row r="256" spans="1:8" x14ac:dyDescent="0.25">
      <c r="A256" s="27"/>
      <c r="B256" t="s">
        <v>552</v>
      </c>
      <c r="C256" t="s">
        <v>553</v>
      </c>
      <c r="E256" t="str">
        <f>B256&amp;" "&amp;C256</f>
        <v>BAKOM MARY JOYCE 21L2386</v>
      </c>
      <c r="F256">
        <v>30</v>
      </c>
      <c r="G256">
        <f>AVERAGE(F:F)</f>
        <v>28.629139072847682</v>
      </c>
      <c r="H256">
        <f>IF(G255="",0.47,H255+1)</f>
        <v>253.47</v>
      </c>
    </row>
    <row r="257" spans="1:8" x14ac:dyDescent="0.25">
      <c r="A257" s="27"/>
      <c r="B257" t="s">
        <v>554</v>
      </c>
      <c r="C257" t="s">
        <v>555</v>
      </c>
      <c r="E257" t="str">
        <f>B257&amp;" "&amp;C257</f>
        <v>AMEGUE OUANGMENE 21N2603</v>
      </c>
      <c r="F257">
        <v>32</v>
      </c>
      <c r="G257">
        <f>AVERAGE(F:F)</f>
        <v>28.629139072847682</v>
      </c>
      <c r="H257">
        <f>IF(G256="",0.47,H256+1)</f>
        <v>254.47</v>
      </c>
    </row>
    <row r="258" spans="1:8" x14ac:dyDescent="0.25">
      <c r="A258" s="27"/>
      <c r="B258" t="s">
        <v>556</v>
      </c>
      <c r="C258" t="s">
        <v>557</v>
      </c>
      <c r="E258" t="str">
        <f>B258&amp;" "&amp;C258</f>
        <v>ENOTA AYUK VIVIANE 22S2739</v>
      </c>
      <c r="F258">
        <v>20</v>
      </c>
      <c r="G258">
        <f>AVERAGE(F:F)</f>
        <v>28.629139072847682</v>
      </c>
      <c r="H258">
        <f>IF(G257="",0.47,H257+1)</f>
        <v>255.47</v>
      </c>
    </row>
    <row r="259" spans="1:8" x14ac:dyDescent="0.25">
      <c r="A259" s="27"/>
      <c r="B259" t="s">
        <v>558</v>
      </c>
      <c r="C259" t="s">
        <v>559</v>
      </c>
      <c r="E259" t="str">
        <f>B259&amp;" "&amp;C259</f>
        <v>MMEMLE CAROLE  20R2418</v>
      </c>
      <c r="F259">
        <v>26</v>
      </c>
      <c r="G259">
        <f>AVERAGE(F:F)</f>
        <v>28.629139072847682</v>
      </c>
      <c r="H259">
        <f>IF(G258="",0.47,H258+1)</f>
        <v>256.47000000000003</v>
      </c>
    </row>
    <row r="260" spans="1:8" x14ac:dyDescent="0.25">
      <c r="A260" s="27"/>
      <c r="B260" t="s">
        <v>560</v>
      </c>
      <c r="C260" t="s">
        <v>561</v>
      </c>
      <c r="E260" t="str">
        <f>B260&amp;" "&amp;C260</f>
        <v>ABACHOU MAHAMAT ABAKAR 22T2579</v>
      </c>
      <c r="F260">
        <v>32</v>
      </c>
      <c r="G260">
        <f>AVERAGE(F:F)</f>
        <v>28.629139072847682</v>
      </c>
      <c r="H260">
        <f>IF(G259="",0.47,H259+1)</f>
        <v>257.47000000000003</v>
      </c>
    </row>
    <row r="261" spans="1:8" x14ac:dyDescent="0.25">
      <c r="A261" s="27"/>
      <c r="B261" t="s">
        <v>562</v>
      </c>
      <c r="C261" t="s">
        <v>563</v>
      </c>
      <c r="E261" t="str">
        <f>B261&amp;" "&amp;C261</f>
        <v>EVE MEFE MARIE 23U2147</v>
      </c>
      <c r="F261">
        <v>34</v>
      </c>
      <c r="G261">
        <f>AVERAGE(F:F)</f>
        <v>28.629139072847682</v>
      </c>
      <c r="H261">
        <f>IF(G260="",0.47,H260+1)</f>
        <v>258.47000000000003</v>
      </c>
    </row>
    <row r="262" spans="1:8" x14ac:dyDescent="0.25">
      <c r="A262" s="27"/>
      <c r="B262" t="s">
        <v>564</v>
      </c>
      <c r="C262" t="s">
        <v>565</v>
      </c>
      <c r="E262" t="str">
        <f>B262&amp;" "&amp;C262</f>
        <v>MBAIRE SYLVESTRE 22T2719</v>
      </c>
      <c r="F262">
        <v>30</v>
      </c>
      <c r="G262">
        <f>AVERAGE(F:F)</f>
        <v>28.629139072847682</v>
      </c>
      <c r="H262">
        <f>IF(G261="",0.47,H261+1)</f>
        <v>259.47000000000003</v>
      </c>
    </row>
    <row r="263" spans="1:8" x14ac:dyDescent="0.25">
      <c r="A263" s="27"/>
      <c r="B263" t="s">
        <v>566</v>
      </c>
      <c r="C263" t="s">
        <v>567</v>
      </c>
      <c r="E263" t="str">
        <f>B263&amp;" "&amp;C263</f>
        <v>MAOUNDONODJI ACHILLE 22R2786</v>
      </c>
      <c r="F263">
        <v>36</v>
      </c>
      <c r="G263">
        <f>AVERAGE(F:F)</f>
        <v>28.629139072847682</v>
      </c>
      <c r="H263">
        <f>IF(G262="",0.47,H262+1)</f>
        <v>260.47000000000003</v>
      </c>
    </row>
    <row r="264" spans="1:8" x14ac:dyDescent="0.25">
      <c r="A264" s="27"/>
      <c r="B264" t="s">
        <v>568</v>
      </c>
      <c r="C264" t="s">
        <v>569</v>
      </c>
      <c r="E264" t="str">
        <f>B264&amp;" "&amp;C264</f>
        <v>BALKISSOU ZODOUMA DIAGUI 21S2044</v>
      </c>
      <c r="F264">
        <v>30</v>
      </c>
      <c r="G264">
        <f>AVERAGE(F:F)</f>
        <v>28.629139072847682</v>
      </c>
      <c r="H264">
        <f>IF(G263="",0.47,H263+1)</f>
        <v>261.47000000000003</v>
      </c>
    </row>
    <row r="265" spans="1:8" x14ac:dyDescent="0.25">
      <c r="A265" s="27"/>
      <c r="B265" t="s">
        <v>570</v>
      </c>
      <c r="C265" t="s">
        <v>571</v>
      </c>
      <c r="E265" t="str">
        <f>B265&amp;" "&amp;C265</f>
        <v>ABDOURAHIM HISSEIN DANGABOU 22N2611</v>
      </c>
      <c r="F265">
        <v>28</v>
      </c>
      <c r="G265">
        <f>AVERAGE(F:F)</f>
        <v>28.629139072847682</v>
      </c>
      <c r="H265">
        <f>IF(G264="",0.47,H264+1)</f>
        <v>262.47000000000003</v>
      </c>
    </row>
    <row r="266" spans="1:8" x14ac:dyDescent="0.25">
      <c r="A266" s="27"/>
      <c r="B266" t="s">
        <v>572</v>
      </c>
      <c r="C266" t="s">
        <v>573</v>
      </c>
      <c r="E266" t="str">
        <f>B266&amp;" "&amp;C266</f>
        <v>MADE FOTSING SIDOINE 22R2519</v>
      </c>
      <c r="F266">
        <v>24</v>
      </c>
      <c r="G266">
        <f>AVERAGE(F:F)</f>
        <v>28.629139072847682</v>
      </c>
      <c r="H266">
        <f>IF(G265="",0.47,H265+1)</f>
        <v>263.47000000000003</v>
      </c>
    </row>
    <row r="267" spans="1:8" x14ac:dyDescent="0.25">
      <c r="A267" s="27"/>
      <c r="B267" t="s">
        <v>574</v>
      </c>
      <c r="C267" t="s">
        <v>575</v>
      </c>
      <c r="E267" t="str">
        <f>B267&amp;" "&amp;C267</f>
        <v>KUATE MOPO EMERY BRIAN 21L2731</v>
      </c>
      <c r="F267">
        <v>40</v>
      </c>
      <c r="G267">
        <f>AVERAGE(F:F)</f>
        <v>28.629139072847682</v>
      </c>
      <c r="H267">
        <f>IF(G266="",0.47,H266+1)</f>
        <v>264.47000000000003</v>
      </c>
    </row>
    <row r="268" spans="1:8" x14ac:dyDescent="0.25">
      <c r="A268" s="27"/>
      <c r="B268" t="s">
        <v>576</v>
      </c>
      <c r="C268" t="s">
        <v>577</v>
      </c>
      <c r="E268" t="str">
        <f>B268&amp;" "&amp;C268</f>
        <v>MULU TASI GLORY NGWI 22K2761</v>
      </c>
      <c r="F268">
        <v>30</v>
      </c>
      <c r="G268">
        <f>AVERAGE(F:F)</f>
        <v>28.629139072847682</v>
      </c>
      <c r="H268">
        <f>IF(G267="",0.47,H267+1)</f>
        <v>265.47000000000003</v>
      </c>
    </row>
    <row r="269" spans="1:8" x14ac:dyDescent="0.25">
      <c r="A269" s="27"/>
      <c r="B269" t="s">
        <v>578</v>
      </c>
      <c r="C269" t="s">
        <v>579</v>
      </c>
      <c r="E269" t="str">
        <f>B269&amp;" "&amp;C269</f>
        <v>ADA ETEME MARTHE STEPHANIE 22T2582</v>
      </c>
      <c r="F269">
        <v>28</v>
      </c>
      <c r="G269">
        <f>AVERAGE(F:F)</f>
        <v>28.629139072847682</v>
      </c>
      <c r="H269">
        <f>IF(G268="",0.47,H268+1)</f>
        <v>266.47000000000003</v>
      </c>
    </row>
    <row r="270" spans="1:8" x14ac:dyDescent="0.25">
      <c r="A270" s="27"/>
      <c r="B270" t="s">
        <v>580</v>
      </c>
      <c r="C270" t="s">
        <v>581</v>
      </c>
      <c r="E270" t="str">
        <f>B270&amp;" "&amp;C270</f>
        <v>MONSIEUR PAUL 22L2479</v>
      </c>
      <c r="F270">
        <v>32</v>
      </c>
      <c r="G270">
        <f>AVERAGE(F:F)</f>
        <v>28.629139072847682</v>
      </c>
      <c r="H270">
        <f>IF(G269="",0.47,H269+1)</f>
        <v>267.47000000000003</v>
      </c>
    </row>
    <row r="271" spans="1:8" x14ac:dyDescent="0.25">
      <c r="A271" s="27"/>
      <c r="B271" t="s">
        <v>582</v>
      </c>
      <c r="C271" t="s">
        <v>583</v>
      </c>
      <c r="E271" t="str">
        <f>B271&amp;" "&amp;C271</f>
        <v>JIKAM METHEN MURIELLE JULIETTE 22U2457</v>
      </c>
      <c r="F271">
        <v>22</v>
      </c>
      <c r="G271">
        <f>AVERAGE(F:F)</f>
        <v>28.629139072847682</v>
      </c>
      <c r="H271">
        <f>IF(G270="",0.47,H270+1)</f>
        <v>268.47000000000003</v>
      </c>
    </row>
    <row r="272" spans="1:8" x14ac:dyDescent="0.25">
      <c r="A272" s="27"/>
      <c r="B272" t="s">
        <v>584</v>
      </c>
      <c r="C272" t="s">
        <v>585</v>
      </c>
      <c r="E272" t="str">
        <f>B272&amp;" "&amp;C272</f>
        <v>MEGOUETTSO KEDIENG ERUS DEGAULLE 22S2518</v>
      </c>
      <c r="F272">
        <v>26</v>
      </c>
      <c r="G272">
        <f>AVERAGE(F:F)</f>
        <v>28.629139072847682</v>
      </c>
      <c r="H272">
        <f>IF(G271="",0.47,H271+1)</f>
        <v>269.47000000000003</v>
      </c>
    </row>
    <row r="273" spans="1:8" x14ac:dyDescent="0.25">
      <c r="A273" s="27"/>
      <c r="B273" t="s">
        <v>586</v>
      </c>
      <c r="C273" t="s">
        <v>587</v>
      </c>
      <c r="E273" t="str">
        <f>B273&amp;" "&amp;C273</f>
        <v>AZAH MEDIATRIX NDIKUM 21N2017</v>
      </c>
      <c r="F273">
        <v>26</v>
      </c>
      <c r="G273">
        <f>AVERAGE(F:F)</f>
        <v>28.629139072847682</v>
      </c>
      <c r="H273">
        <f>IF(G272="",0.47,H272+1)</f>
        <v>270.47000000000003</v>
      </c>
    </row>
    <row r="274" spans="1:8" x14ac:dyDescent="0.25">
      <c r="A274" s="27"/>
      <c r="B274" t="s">
        <v>588</v>
      </c>
      <c r="C274" t="s">
        <v>589</v>
      </c>
      <c r="E274" t="str">
        <f>B274&amp;" "&amp;C274</f>
        <v>ALLINGUE JONATHAN 21S2894</v>
      </c>
      <c r="F274">
        <v>24</v>
      </c>
      <c r="G274">
        <f>AVERAGE(F:F)</f>
        <v>28.629139072847682</v>
      </c>
      <c r="H274">
        <f>IF(G273="",0.47,H273+1)</f>
        <v>271.47000000000003</v>
      </c>
    </row>
    <row r="275" spans="1:8" x14ac:dyDescent="0.25">
      <c r="A275" s="27"/>
      <c r="B275" t="s">
        <v>590</v>
      </c>
      <c r="C275" t="s">
        <v>591</v>
      </c>
      <c r="E275" t="str">
        <f>B275&amp;" "&amp;C275</f>
        <v>BALANA MBAMBA VIVIANE LOÏS 22K2848</v>
      </c>
      <c r="F275">
        <v>32</v>
      </c>
      <c r="G275">
        <f>AVERAGE(F:F)</f>
        <v>28.629139072847682</v>
      </c>
      <c r="H275">
        <f>IF(G274="",0.47,H274+1)</f>
        <v>272.47000000000003</v>
      </c>
    </row>
    <row r="276" spans="1:8" x14ac:dyDescent="0.25">
      <c r="A276" s="27"/>
      <c r="B276" t="s">
        <v>592</v>
      </c>
      <c r="C276" t="s">
        <v>593</v>
      </c>
      <c r="E276" t="str">
        <f>B276&amp;" "&amp;C276</f>
        <v>DINNAMOU MALIKI PHILOMON 22V2193</v>
      </c>
      <c r="F276">
        <v>30</v>
      </c>
      <c r="G276">
        <f>AVERAGE(F:F)</f>
        <v>28.629139072847682</v>
      </c>
      <c r="H276">
        <f>IF(G275="",0.47,H275+1)</f>
        <v>273.47000000000003</v>
      </c>
    </row>
    <row r="277" spans="1:8" x14ac:dyDescent="0.25">
      <c r="A277" s="27"/>
      <c r="B277" t="s">
        <v>594</v>
      </c>
      <c r="C277" t="s">
        <v>595</v>
      </c>
      <c r="E277" t="str">
        <f>B277&amp;" "&amp;C277</f>
        <v>BINGAN BI LUMA ETIENNE CLÉMENT 21N2697</v>
      </c>
      <c r="F277">
        <v>26</v>
      </c>
      <c r="G277">
        <f>AVERAGE(F:F)</f>
        <v>28.629139072847682</v>
      </c>
      <c r="H277">
        <f>IF(G276="",0.47,H276+1)</f>
        <v>274.47000000000003</v>
      </c>
    </row>
    <row r="278" spans="1:8" x14ac:dyDescent="0.25">
      <c r="A278" s="27"/>
      <c r="B278" t="s">
        <v>596</v>
      </c>
      <c r="C278" t="s">
        <v>597</v>
      </c>
      <c r="E278" t="str">
        <f>B278&amp;" "&amp;C278</f>
        <v>MBINO TRACY ALBRIGHT 22R2985</v>
      </c>
      <c r="F278">
        <v>30</v>
      </c>
      <c r="G278">
        <f>AVERAGE(F:F)</f>
        <v>28.629139072847682</v>
      </c>
      <c r="H278">
        <f>IF(G277="",0.47,H277+1)</f>
        <v>275.47000000000003</v>
      </c>
    </row>
    <row r="279" spans="1:8" x14ac:dyDescent="0.25">
      <c r="A279" s="27"/>
      <c r="B279" t="s">
        <v>598</v>
      </c>
      <c r="C279" t="s">
        <v>599</v>
      </c>
      <c r="E279" t="str">
        <f>B279&amp;" "&amp;C279</f>
        <v>MBOME MBONE KARIM 22U2829</v>
      </c>
      <c r="F279">
        <v>28</v>
      </c>
      <c r="G279">
        <f>AVERAGE(F:F)</f>
        <v>28.629139072847682</v>
      </c>
      <c r="H279">
        <f>IF(G278="",0.47,H278+1)</f>
        <v>276.47000000000003</v>
      </c>
    </row>
    <row r="280" spans="1:8" x14ac:dyDescent="0.25">
      <c r="A280" s="27"/>
      <c r="B280" t="s">
        <v>600</v>
      </c>
      <c r="C280" t="s">
        <v>601</v>
      </c>
      <c r="E280" t="str">
        <f>B280&amp;" "&amp;C280</f>
        <v>MBAIREYOM ABRAHAM 21S2940</v>
      </c>
      <c r="F280">
        <v>28</v>
      </c>
      <c r="G280">
        <f>AVERAGE(F:F)</f>
        <v>28.629139072847682</v>
      </c>
      <c r="H280">
        <f>IF(G279="",0.47,H279+1)</f>
        <v>277.47000000000003</v>
      </c>
    </row>
    <row r="281" spans="1:8" x14ac:dyDescent="0.25">
      <c r="A281" s="27"/>
      <c r="B281" t="s">
        <v>602</v>
      </c>
      <c r="C281" t="s">
        <v>603</v>
      </c>
      <c r="E281" t="str">
        <f>B281&amp;" "&amp;C281</f>
        <v>MBOK ABELAZIZ 22V2187</v>
      </c>
      <c r="F281">
        <v>30</v>
      </c>
      <c r="G281">
        <f>AVERAGE(F:F)</f>
        <v>28.629139072847682</v>
      </c>
      <c r="H281">
        <f>IF(G280="",0.47,H280+1)</f>
        <v>278.47000000000003</v>
      </c>
    </row>
    <row r="282" spans="1:8" x14ac:dyDescent="0.25">
      <c r="A282" s="27"/>
      <c r="B282" t="s">
        <v>604</v>
      </c>
      <c r="C282" t="s">
        <v>605</v>
      </c>
      <c r="E282" t="str">
        <f>B282&amp;" "&amp;C282</f>
        <v>MOUSSA DJEDID MABROUCK 22R2958</v>
      </c>
      <c r="F282">
        <v>32</v>
      </c>
      <c r="G282">
        <f>AVERAGE(F:F)</f>
        <v>28.629139072847682</v>
      </c>
      <c r="H282">
        <f>IF(G281="",0.47,H281+1)</f>
        <v>279.47000000000003</v>
      </c>
    </row>
    <row r="283" spans="1:8" x14ac:dyDescent="0.25">
      <c r="A283" s="27"/>
      <c r="B283" t="s">
        <v>606</v>
      </c>
      <c r="C283" t="s">
        <v>607</v>
      </c>
      <c r="E283" t="str">
        <f>B283&amp;" "&amp;C283</f>
        <v>MOUDASSIR MAHAMAT TAHIR 22V2448</v>
      </c>
      <c r="F283">
        <v>30</v>
      </c>
      <c r="G283">
        <f>AVERAGE(F:F)</f>
        <v>28.629139072847682</v>
      </c>
      <c r="H283">
        <f>IF(G282="",0.47,H282+1)</f>
        <v>280.47000000000003</v>
      </c>
    </row>
    <row r="284" spans="1:8" x14ac:dyDescent="0.25">
      <c r="A284" s="27"/>
      <c r="B284" t="s">
        <v>608</v>
      </c>
      <c r="C284" t="s">
        <v>609</v>
      </c>
      <c r="E284" t="str">
        <f>B284&amp;" "&amp;C284</f>
        <v>CHINZEN NGUIMTIA LESLY MARY 22V2799</v>
      </c>
      <c r="F284">
        <v>24</v>
      </c>
      <c r="G284">
        <f>AVERAGE(F:F)</f>
        <v>28.629139072847682</v>
      </c>
      <c r="H284">
        <f>IF(G283="",0.47,H283+1)</f>
        <v>281.47000000000003</v>
      </c>
    </row>
    <row r="285" spans="1:8" x14ac:dyDescent="0.25">
      <c r="A285" s="27"/>
      <c r="B285" t="s">
        <v>610</v>
      </c>
      <c r="C285" t="s">
        <v>611</v>
      </c>
      <c r="E285" t="str">
        <f>B285&amp;" "&amp;C285</f>
        <v>LIMA SONG MADELEINE MEGANE PRINCESSE 22K2773</v>
      </c>
      <c r="F285">
        <v>26</v>
      </c>
      <c r="G285">
        <f>AVERAGE(F:F)</f>
        <v>28.629139072847682</v>
      </c>
      <c r="H285">
        <f>IF(G284="",0.47,H284+1)</f>
        <v>282.47000000000003</v>
      </c>
    </row>
    <row r="286" spans="1:8" x14ac:dyDescent="0.25">
      <c r="A286" s="27"/>
      <c r="B286" t="s">
        <v>612</v>
      </c>
      <c r="C286" t="s">
        <v>613</v>
      </c>
      <c r="E286" t="str">
        <f>B286&amp;" "&amp;C286</f>
        <v>MAKANA YORONGAR 22T2118</v>
      </c>
      <c r="F286">
        <v>28</v>
      </c>
      <c r="G286">
        <f>AVERAGE(F:F)</f>
        <v>28.629139072847682</v>
      </c>
      <c r="H286">
        <f>IF(G285="",0.47,H285+1)</f>
        <v>283.47000000000003</v>
      </c>
    </row>
    <row r="287" spans="1:8" x14ac:dyDescent="0.25">
      <c r="A287" s="27"/>
      <c r="B287" t="s">
        <v>614</v>
      </c>
      <c r="C287" t="s">
        <v>615</v>
      </c>
      <c r="E287" t="str">
        <f>B287&amp;" "&amp;C287</f>
        <v>AVARA MANDEDA CALEB 22R2510</v>
      </c>
      <c r="F287">
        <v>32</v>
      </c>
      <c r="G287">
        <f>AVERAGE(F:F)</f>
        <v>28.629139072847682</v>
      </c>
      <c r="H287">
        <f>IF(G286="",0.47,H286+1)</f>
        <v>284.47000000000003</v>
      </c>
    </row>
    <row r="288" spans="1:8" x14ac:dyDescent="0.25">
      <c r="A288" s="27"/>
      <c r="B288" t="s">
        <v>616</v>
      </c>
      <c r="C288" t="s">
        <v>617</v>
      </c>
      <c r="E288" t="str">
        <f>B288&amp;" "&amp;C288</f>
        <v>MOUDZE DEFFO JUDE FREMY 21L2451</v>
      </c>
      <c r="F288">
        <v>22</v>
      </c>
      <c r="G288">
        <f>AVERAGE(F:F)</f>
        <v>28.629139072847682</v>
      </c>
      <c r="H288">
        <f>IF(G287="",0.47,H287+1)</f>
        <v>285.47000000000003</v>
      </c>
    </row>
    <row r="289" spans="1:8" x14ac:dyDescent="0.25">
      <c r="A289" s="27"/>
      <c r="B289" t="s">
        <v>618</v>
      </c>
      <c r="C289" t="s">
        <v>619</v>
      </c>
      <c r="E289" t="str">
        <f>B289&amp;" "&amp;C289</f>
        <v>BARKEMTOH BERNICE 22T2632</v>
      </c>
      <c r="F289">
        <v>26</v>
      </c>
      <c r="G289">
        <f>AVERAGE(F:F)</f>
        <v>28.629139072847682</v>
      </c>
      <c r="H289">
        <f>IF(G288="",0.47,H288+1)</f>
        <v>286.47000000000003</v>
      </c>
    </row>
    <row r="290" spans="1:8" x14ac:dyDescent="0.25">
      <c r="A290" s="27"/>
      <c r="B290" t="s">
        <v>620</v>
      </c>
      <c r="C290" t="s">
        <v>621</v>
      </c>
      <c r="E290" t="str">
        <f>B290&amp;" "&amp;C290</f>
        <v>AMOUGOU NGABENA JEAN CHRISTIAN 21N2682</v>
      </c>
      <c r="F290">
        <v>20</v>
      </c>
      <c r="G290">
        <f>AVERAGE(F:F)</f>
        <v>28.629139072847682</v>
      </c>
      <c r="H290">
        <f>IF(G289="",0.47,H289+1)</f>
        <v>287.47000000000003</v>
      </c>
    </row>
    <row r="291" spans="1:8" x14ac:dyDescent="0.25">
      <c r="A291" s="27"/>
      <c r="B291" t="s">
        <v>622</v>
      </c>
      <c r="C291" t="s">
        <v>623</v>
      </c>
      <c r="E291" t="str">
        <f>B291&amp;" "&amp;C291</f>
        <v>MAHAMAT ATCHALLAH 22V2638</v>
      </c>
      <c r="F291">
        <v>24</v>
      </c>
      <c r="G291">
        <f>AVERAGE(F:F)</f>
        <v>28.629139072847682</v>
      </c>
      <c r="H291">
        <f>IF(G290="",0.47,H290+1)</f>
        <v>288.47000000000003</v>
      </c>
    </row>
    <row r="292" spans="1:8" x14ac:dyDescent="0.25">
      <c r="A292" s="27"/>
      <c r="B292" t="s">
        <v>624</v>
      </c>
      <c r="C292" t="s">
        <v>625</v>
      </c>
      <c r="E292" t="str">
        <f>B292&amp;" "&amp;C292</f>
        <v>EFA NDZIE CRESCENCE SARA 22Q2643</v>
      </c>
      <c r="F292">
        <v>30</v>
      </c>
      <c r="G292">
        <f>AVERAGE(F:F)</f>
        <v>28.629139072847682</v>
      </c>
      <c r="H292">
        <f>IF(G291="",0.47,H291+1)</f>
        <v>289.47000000000003</v>
      </c>
    </row>
    <row r="293" spans="1:8" x14ac:dyDescent="0.25">
      <c r="A293" s="27"/>
      <c r="B293" t="s">
        <v>626</v>
      </c>
      <c r="C293" t="s">
        <v>627</v>
      </c>
      <c r="E293" t="str">
        <f>B293&amp;" "&amp;C293</f>
        <v>MBEKOU ELISE ALIDA 22L2655</v>
      </c>
      <c r="F293">
        <v>20</v>
      </c>
      <c r="G293">
        <f>AVERAGE(F:F)</f>
        <v>28.629139072847682</v>
      </c>
      <c r="H293">
        <f>IF(G292="",0.47,H292+1)</f>
        <v>290.47000000000003</v>
      </c>
    </row>
    <row r="294" spans="1:8" x14ac:dyDescent="0.25">
      <c r="A294" s="27"/>
      <c r="B294" t="s">
        <v>628</v>
      </c>
      <c r="C294" t="s">
        <v>629</v>
      </c>
      <c r="E294" t="str">
        <f>B294&amp;" "&amp;C294</f>
        <v>ADAMA AMADOU EMMANUEL 22Q2900</v>
      </c>
      <c r="F294">
        <v>28</v>
      </c>
      <c r="G294">
        <f>AVERAGE(F:F)</f>
        <v>28.629139072847682</v>
      </c>
      <c r="H294">
        <f>IF(G293="",0.47,H293+1)</f>
        <v>291.47000000000003</v>
      </c>
    </row>
    <row r="295" spans="1:8" x14ac:dyDescent="0.25">
      <c r="A295" s="27"/>
      <c r="B295" t="s">
        <v>630</v>
      </c>
      <c r="C295" t="s">
        <v>631</v>
      </c>
      <c r="E295" t="str">
        <f>B295&amp;" "&amp;C295</f>
        <v>EVEHE BAZIN LEDUC 22Q2566</v>
      </c>
      <c r="F295">
        <v>24</v>
      </c>
      <c r="G295">
        <f>AVERAGE(F:F)</f>
        <v>28.629139072847682</v>
      </c>
      <c r="H295">
        <f>IF(G294="",0.47,H294+1)</f>
        <v>292.47000000000003</v>
      </c>
    </row>
    <row r="296" spans="1:8" x14ac:dyDescent="0.25">
      <c r="A296" s="27"/>
      <c r="B296" t="s">
        <v>632</v>
      </c>
      <c r="C296" t="s">
        <v>633</v>
      </c>
      <c r="E296" t="str">
        <f>B296&amp;" "&amp;C296</f>
        <v>FIBASSOU GOKOINA LONGUEUR 22K2817</v>
      </c>
      <c r="F296">
        <v>26</v>
      </c>
      <c r="G296">
        <f>AVERAGE(F:F)</f>
        <v>28.629139072847682</v>
      </c>
      <c r="H296">
        <f>IF(G295="",0.47,H295+1)</f>
        <v>293.47000000000003</v>
      </c>
    </row>
    <row r="297" spans="1:8" x14ac:dyDescent="0.25">
      <c r="A297" s="27"/>
      <c r="B297" t="s">
        <v>634</v>
      </c>
      <c r="C297" t="s">
        <v>635</v>
      </c>
      <c r="E297" t="str">
        <f>B297&amp;" "&amp;C297</f>
        <v>KENGNI KEMGANG ROCHINEL 21L2762</v>
      </c>
      <c r="F297">
        <v>26</v>
      </c>
      <c r="G297">
        <f>AVERAGE(F:F)</f>
        <v>28.629139072847682</v>
      </c>
      <c r="H297">
        <f>IF(G296="",0.47,H296+1)</f>
        <v>294.47000000000003</v>
      </c>
    </row>
    <row r="298" spans="1:8" x14ac:dyDescent="0.25">
      <c r="A298" s="27"/>
      <c r="B298" t="s">
        <v>636</v>
      </c>
      <c r="C298" t="s">
        <v>637</v>
      </c>
      <c r="E298" t="str">
        <f>B298&amp;" "&amp;C298</f>
        <v>ATEH ANITA ENGOMI 22S2208</v>
      </c>
      <c r="F298">
        <v>22</v>
      </c>
      <c r="G298">
        <f>AVERAGE(F:F)</f>
        <v>28.629139072847682</v>
      </c>
      <c r="H298">
        <f>IF(G297="",0.47,H297+1)</f>
        <v>295.47000000000003</v>
      </c>
    </row>
    <row r="299" spans="1:8" x14ac:dyDescent="0.25">
      <c r="A299" s="27"/>
      <c r="B299" t="s">
        <v>638</v>
      </c>
      <c r="C299" t="s">
        <v>639</v>
      </c>
      <c r="E299" t="str">
        <f>B299&amp;" "&amp;C299</f>
        <v>ABOUDOU ELE BRIGITTE EDYTH 22N2748</v>
      </c>
      <c r="F299">
        <v>28</v>
      </c>
      <c r="G299">
        <f>AVERAGE(F:F)</f>
        <v>28.629139072847682</v>
      </c>
      <c r="H299">
        <f>IF(G298="",0.47,H298+1)</f>
        <v>296.47000000000003</v>
      </c>
    </row>
    <row r="300" spans="1:8" x14ac:dyDescent="0.25">
      <c r="A300" s="27"/>
      <c r="B300" t="s">
        <v>640</v>
      </c>
      <c r="C300" t="s">
        <v>641</v>
      </c>
      <c r="E300" t="str">
        <f>B300&amp;" "&amp;C300</f>
        <v>KENGNE FOSSOE MARIANE FLAURE 22Q2957</v>
      </c>
      <c r="F300">
        <v>22</v>
      </c>
      <c r="G300">
        <f>AVERAGE(F:F)</f>
        <v>28.629139072847682</v>
      </c>
      <c r="H300">
        <f>IF(G299="",0.47,H299+1)</f>
        <v>297.47000000000003</v>
      </c>
    </row>
    <row r="301" spans="1:8" x14ac:dyDescent="0.25">
      <c r="A301" s="27"/>
      <c r="B301" t="s">
        <v>642</v>
      </c>
      <c r="C301" t="s">
        <v>643</v>
      </c>
      <c r="E301" t="str">
        <f>B301&amp;" "&amp;C301</f>
        <v>ADJIVED BEATRICE 22L2429</v>
      </c>
      <c r="F301">
        <v>32</v>
      </c>
      <c r="G301">
        <f>AVERAGE(F:F)</f>
        <v>28.629139072847682</v>
      </c>
      <c r="H301">
        <f>IF(G300="",0.47,H300+1)</f>
        <v>298.47000000000003</v>
      </c>
    </row>
    <row r="302" spans="1:8" x14ac:dyDescent="0.25">
      <c r="A302" s="27"/>
      <c r="B302" t="s">
        <v>644</v>
      </c>
      <c r="C302" t="s">
        <v>645</v>
      </c>
      <c r="E302" t="str">
        <f>B302&amp;" "&amp;C302</f>
        <v>DJIUFOUO LONTSIE TIFANE  22R2022</v>
      </c>
      <c r="F302">
        <v>22</v>
      </c>
      <c r="G302">
        <f>AVERAGE(F:F)</f>
        <v>28.629139072847682</v>
      </c>
      <c r="H302">
        <f>IF(G301="",0.47,H301+1)</f>
        <v>299.47000000000003</v>
      </c>
    </row>
    <row r="303" spans="1:8" x14ac:dyDescent="0.25">
      <c r="A303" s="27"/>
      <c r="B303" t="s">
        <v>646</v>
      </c>
      <c r="C303" t="s">
        <v>647</v>
      </c>
      <c r="E303" t="str">
        <f>B303&amp;" "&amp;C303</f>
        <v>ESSIOR SANKOE ETIENNE 22O2404</v>
      </c>
      <c r="F303">
        <v>34</v>
      </c>
      <c r="G303">
        <f>AVERAGE(F:F)</f>
        <v>28.629139072847682</v>
      </c>
      <c r="H303">
        <f>IF(G302="",0.47,H302+1)</f>
        <v>300.47000000000003</v>
      </c>
    </row>
    <row r="304" spans="1:8" x14ac:dyDescent="0.25">
      <c r="A304" s="27"/>
      <c r="B304" t="s">
        <v>648</v>
      </c>
      <c r="C304" t="s">
        <v>649</v>
      </c>
      <c r="E304" t="str">
        <f>B304&amp;" "&amp;C304</f>
        <v>MARIAM NASSOUR 22T2080</v>
      </c>
      <c r="F304">
        <v>34</v>
      </c>
      <c r="G304">
        <f>AVERAGE(F:F)</f>
        <v>28.629139072847682</v>
      </c>
      <c r="H304">
        <f>IF(G303="",0.47,H303+1)</f>
        <v>301.47000000000003</v>
      </c>
    </row>
    <row r="305" spans="1:1" hidden="1" x14ac:dyDescent="0.25">
      <c r="A305" s="27"/>
    </row>
    <row r="306" spans="1:1" x14ac:dyDescent="0.25">
      <c r="A306" s="27"/>
    </row>
    <row r="308" spans="1:1" x14ac:dyDescent="0.25">
      <c r="A308" s="27"/>
    </row>
    <row r="312" spans="1:1" x14ac:dyDescent="0.25">
      <c r="A312" s="27"/>
    </row>
    <row r="314" spans="1:1" ht="12.75" x14ac:dyDescent="0.2">
      <c r="A314" s="30"/>
    </row>
    <row r="315" spans="1:1" ht="12.75" x14ac:dyDescent="0.2">
      <c r="A315" s="30"/>
    </row>
    <row r="316" spans="1:1" x14ac:dyDescent="0.25">
      <c r="A316" s="27"/>
    </row>
    <row r="317" spans="1:1" x14ac:dyDescent="0.25">
      <c r="A317" s="27"/>
    </row>
    <row r="318" spans="1:1" x14ac:dyDescent="0.25">
      <c r="A318" s="27"/>
    </row>
    <row r="319" spans="1:1" x14ac:dyDescent="0.25">
      <c r="A319" s="27"/>
    </row>
    <row r="320" spans="1:1" x14ac:dyDescent="0.25">
      <c r="A320" s="27"/>
    </row>
    <row r="321" spans="1:1" x14ac:dyDescent="0.25">
      <c r="A321" s="27"/>
    </row>
    <row r="322" spans="1:1" x14ac:dyDescent="0.25">
      <c r="A322" s="27"/>
    </row>
    <row r="323" spans="1:1" x14ac:dyDescent="0.25">
      <c r="A323" s="27"/>
    </row>
    <row r="324" spans="1:1" x14ac:dyDescent="0.25">
      <c r="A324" s="27"/>
    </row>
    <row r="325" spans="1:1" x14ac:dyDescent="0.25">
      <c r="A325" s="27"/>
    </row>
    <row r="326" spans="1:1" x14ac:dyDescent="0.25">
      <c r="A326" s="27"/>
    </row>
    <row r="327" spans="1:1" x14ac:dyDescent="0.25">
      <c r="A327" s="27"/>
    </row>
    <row r="328" spans="1:1" x14ac:dyDescent="0.25">
      <c r="A328" s="27"/>
    </row>
    <row r="329" spans="1:1" x14ac:dyDescent="0.25">
      <c r="A329" s="27"/>
    </row>
    <row r="330" spans="1:1" x14ac:dyDescent="0.25">
      <c r="A330" s="27"/>
    </row>
    <row r="331" spans="1:1" x14ac:dyDescent="0.25">
      <c r="A331" s="27"/>
    </row>
    <row r="332" spans="1:1" x14ac:dyDescent="0.25">
      <c r="A332" s="27"/>
    </row>
    <row r="333" spans="1:1" x14ac:dyDescent="0.25">
      <c r="A333" s="27"/>
    </row>
    <row r="334" spans="1:1" x14ac:dyDescent="0.25">
      <c r="A334" s="27"/>
    </row>
    <row r="335" spans="1:1" x14ac:dyDescent="0.25">
      <c r="A335" s="27"/>
    </row>
    <row r="336" spans="1:1" x14ac:dyDescent="0.25">
      <c r="A336" s="27"/>
    </row>
    <row r="337" spans="1:1" x14ac:dyDescent="0.25">
      <c r="A337" s="27"/>
    </row>
    <row r="338" spans="1:1" x14ac:dyDescent="0.25">
      <c r="A338" s="27"/>
    </row>
    <row r="339" spans="1:1" x14ac:dyDescent="0.25">
      <c r="A339" s="27"/>
    </row>
    <row r="340" spans="1:1" x14ac:dyDescent="0.25">
      <c r="A340" s="27"/>
    </row>
    <row r="341" spans="1:1" x14ac:dyDescent="0.25">
      <c r="A341" s="27"/>
    </row>
    <row r="342" spans="1:1" x14ac:dyDescent="0.25">
      <c r="A342" s="27"/>
    </row>
    <row r="343" spans="1:1" x14ac:dyDescent="0.25">
      <c r="A343" s="27"/>
    </row>
    <row r="344" spans="1:1" x14ac:dyDescent="0.25">
      <c r="A344" s="27"/>
    </row>
    <row r="345" spans="1:1" x14ac:dyDescent="0.25">
      <c r="A345" s="27"/>
    </row>
    <row r="346" spans="1:1" x14ac:dyDescent="0.25">
      <c r="A346" s="27"/>
    </row>
    <row r="347" spans="1:1" x14ac:dyDescent="0.25">
      <c r="A347" s="27"/>
    </row>
    <row r="348" spans="1:1" x14ac:dyDescent="0.25">
      <c r="A348" s="27"/>
    </row>
    <row r="349" spans="1:1" x14ac:dyDescent="0.25">
      <c r="A349" s="27"/>
    </row>
    <row r="350" spans="1:1" x14ac:dyDescent="0.25">
      <c r="A350" s="27"/>
    </row>
    <row r="351" spans="1:1" x14ac:dyDescent="0.25">
      <c r="A351" s="27"/>
    </row>
    <row r="352" spans="1:1" x14ac:dyDescent="0.25">
      <c r="A352" s="27"/>
    </row>
    <row r="353" spans="1:1" x14ac:dyDescent="0.25">
      <c r="A353" s="27"/>
    </row>
    <row r="354" spans="1:1" x14ac:dyDescent="0.25">
      <c r="A354" s="27"/>
    </row>
    <row r="355" spans="1:1" x14ac:dyDescent="0.25">
      <c r="A355" s="27"/>
    </row>
    <row r="356" spans="1:1" x14ac:dyDescent="0.25">
      <c r="A356" s="27"/>
    </row>
    <row r="357" spans="1:1" x14ac:dyDescent="0.25">
      <c r="A357" s="27"/>
    </row>
    <row r="358" spans="1:1" x14ac:dyDescent="0.25">
      <c r="A358" s="27"/>
    </row>
    <row r="359" spans="1:1" x14ac:dyDescent="0.25">
      <c r="A359" s="27"/>
    </row>
    <row r="360" spans="1:1" x14ac:dyDescent="0.25">
      <c r="A360" s="27"/>
    </row>
    <row r="361" spans="1:1" x14ac:dyDescent="0.25">
      <c r="A361" s="27"/>
    </row>
    <row r="362" spans="1:1" x14ac:dyDescent="0.25">
      <c r="A362" s="27"/>
    </row>
    <row r="363" spans="1:1" x14ac:dyDescent="0.25">
      <c r="A363" s="27"/>
    </row>
    <row r="364" spans="1:1" x14ac:dyDescent="0.25">
      <c r="A364" s="27"/>
    </row>
    <row r="365" spans="1:1" x14ac:dyDescent="0.25">
      <c r="A365" s="27"/>
    </row>
    <row r="366" spans="1:1" x14ac:dyDescent="0.25">
      <c r="A366" s="27"/>
    </row>
    <row r="367" spans="1:1" x14ac:dyDescent="0.25">
      <c r="A367" s="27"/>
    </row>
    <row r="368" spans="1:1" x14ac:dyDescent="0.25">
      <c r="A368" s="27"/>
    </row>
    <row r="369" spans="1:1" x14ac:dyDescent="0.25">
      <c r="A369" s="27"/>
    </row>
    <row r="370" spans="1:1" x14ac:dyDescent="0.25">
      <c r="A370" s="27"/>
    </row>
    <row r="371" spans="1:1" x14ac:dyDescent="0.25">
      <c r="A371" s="27"/>
    </row>
    <row r="372" spans="1:1" x14ac:dyDescent="0.25">
      <c r="A372" s="27"/>
    </row>
    <row r="373" spans="1:1" x14ac:dyDescent="0.25">
      <c r="A373" s="27"/>
    </row>
    <row r="374" spans="1:1" x14ac:dyDescent="0.25">
      <c r="A374" s="27"/>
    </row>
    <row r="375" spans="1:1" x14ac:dyDescent="0.25">
      <c r="A375" s="27"/>
    </row>
    <row r="376" spans="1:1" x14ac:dyDescent="0.25">
      <c r="A376" s="27"/>
    </row>
    <row r="377" spans="1:1" x14ac:dyDescent="0.25">
      <c r="A377" s="27"/>
    </row>
    <row r="378" spans="1:1" x14ac:dyDescent="0.25">
      <c r="A378" s="27"/>
    </row>
    <row r="379" spans="1:1" x14ac:dyDescent="0.25">
      <c r="A379" s="27"/>
    </row>
    <row r="380" spans="1:1" x14ac:dyDescent="0.25">
      <c r="A380" s="27"/>
    </row>
    <row r="381" spans="1:1" x14ac:dyDescent="0.25">
      <c r="A381" s="27"/>
    </row>
    <row r="382" spans="1:1" x14ac:dyDescent="0.25">
      <c r="A382" s="27"/>
    </row>
    <row r="383" spans="1:1" x14ac:dyDescent="0.25">
      <c r="A383" s="27"/>
    </row>
    <row r="384" spans="1:1" x14ac:dyDescent="0.25">
      <c r="A384" s="27"/>
    </row>
    <row r="385" spans="1:1" x14ac:dyDescent="0.25">
      <c r="A385" s="27"/>
    </row>
    <row r="386" spans="1:1" x14ac:dyDescent="0.25">
      <c r="A386" s="27"/>
    </row>
    <row r="387" spans="1:1" x14ac:dyDescent="0.25">
      <c r="A387" s="27"/>
    </row>
    <row r="388" spans="1:1" x14ac:dyDescent="0.25">
      <c r="A388" s="27"/>
    </row>
    <row r="389" spans="1:1" x14ac:dyDescent="0.25">
      <c r="A389" s="27"/>
    </row>
    <row r="390" spans="1:1" x14ac:dyDescent="0.25">
      <c r="A390" s="27"/>
    </row>
    <row r="391" spans="1:1" x14ac:dyDescent="0.25">
      <c r="A391" s="27"/>
    </row>
    <row r="392" spans="1:1" x14ac:dyDescent="0.25">
      <c r="A392" s="27"/>
    </row>
    <row r="393" spans="1:1" x14ac:dyDescent="0.25">
      <c r="A393" s="27"/>
    </row>
    <row r="394" spans="1:1" x14ac:dyDescent="0.25">
      <c r="A394" s="27"/>
    </row>
    <row r="395" spans="1:1" x14ac:dyDescent="0.25">
      <c r="A395" s="27"/>
    </row>
    <row r="396" spans="1:1" x14ac:dyDescent="0.25">
      <c r="A396" s="27"/>
    </row>
    <row r="397" spans="1:1" x14ac:dyDescent="0.25">
      <c r="A397" s="27"/>
    </row>
    <row r="398" spans="1:1" x14ac:dyDescent="0.25">
      <c r="A398" s="27"/>
    </row>
    <row r="399" spans="1:1" x14ac:dyDescent="0.25">
      <c r="A399" s="27"/>
    </row>
    <row r="400" spans="1:1" x14ac:dyDescent="0.25">
      <c r="A400" s="27"/>
    </row>
    <row r="401" spans="1:1" x14ac:dyDescent="0.25">
      <c r="A401" s="27"/>
    </row>
  </sheetData>
  <conditionalFormatting sqref="A314:A341 A1 A312 A308 A3:A303 A305:A306">
    <cfRule type="expression" priority="302" stopIfTrue="1">
      <formula>AND(LEFT($A1,6)="Header",COUNTIF($A:$A,"Footer_" &amp; SUBSTITUTE($A1,"Header_",""))=0)</formula>
    </cfRule>
  </conditionalFormatting>
  <conditionalFormatting sqref="A304">
    <cfRule type="expression" priority="1" stopIfTrue="1">
      <formula>AND(LEFT($A304,6)="Header",COUNTIF($A:$A,"Footer_" &amp; SUBSTITUTE($A304,"Header_",""))=0)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J36"/>
  <sheetViews>
    <sheetView workbookViewId="0">
      <selection activeCell="B5" sqref="B5"/>
    </sheetView>
  </sheetViews>
  <sheetFormatPr baseColWidth="10" defaultRowHeight="12.75" x14ac:dyDescent="0.2"/>
  <cols>
    <col min="1" max="1" width="21" bestFit="1" customWidth="1"/>
    <col min="4" max="4" width="32.28515625" customWidth="1"/>
  </cols>
  <sheetData>
    <row r="1" spans="1:6" x14ac:dyDescent="0.2">
      <c r="A1" t="s">
        <v>27</v>
      </c>
      <c r="B1" s="1">
        <v>3</v>
      </c>
    </row>
    <row r="2" spans="1:6" x14ac:dyDescent="0.2">
      <c r="A2" t="s">
        <v>28</v>
      </c>
      <c r="B2" s="1">
        <v>1</v>
      </c>
    </row>
    <row r="3" spans="1:6" x14ac:dyDescent="0.2">
      <c r="A3" t="s">
        <v>29</v>
      </c>
      <c r="B3" s="1">
        <v>1</v>
      </c>
    </row>
    <row r="4" spans="1:6" x14ac:dyDescent="0.2">
      <c r="A4" t="s">
        <v>30</v>
      </c>
      <c r="B4" s="1">
        <v>0</v>
      </c>
    </row>
    <row r="5" spans="1:6" x14ac:dyDescent="0.2">
      <c r="A5" t="s">
        <v>31</v>
      </c>
      <c r="B5" s="1">
        <v>1</v>
      </c>
    </row>
    <row r="6" spans="1:6" x14ac:dyDescent="0.2">
      <c r="A6" t="s">
        <v>32</v>
      </c>
      <c r="B6" s="1">
        <v>0</v>
      </c>
    </row>
    <row r="7" spans="1:6" x14ac:dyDescent="0.2">
      <c r="A7" t="s">
        <v>33</v>
      </c>
      <c r="B7" s="1">
        <v>0</v>
      </c>
    </row>
    <row r="8" spans="1:6" x14ac:dyDescent="0.2">
      <c r="A8" t="s">
        <v>36</v>
      </c>
      <c r="B8" s="1">
        <v>0</v>
      </c>
    </row>
    <row r="9" spans="1:6" x14ac:dyDescent="0.2">
      <c r="A9" t="s">
        <v>34</v>
      </c>
      <c r="B9" s="1">
        <v>0</v>
      </c>
    </row>
    <row r="10" spans="1:6" x14ac:dyDescent="0.2">
      <c r="A10" t="s">
        <v>35</v>
      </c>
      <c r="B10" s="1">
        <v>1</v>
      </c>
    </row>
    <row r="12" spans="1:6" x14ac:dyDescent="0.2">
      <c r="A12" s="2" t="s">
        <v>8</v>
      </c>
      <c r="B12" s="3">
        <v>0</v>
      </c>
      <c r="C12" s="4" t="s">
        <v>10</v>
      </c>
      <c r="D12" s="4"/>
      <c r="E12" s="4"/>
      <c r="F12" s="5"/>
    </row>
    <row r="13" spans="1:6" x14ac:dyDescent="0.2">
      <c r="A13" s="6"/>
      <c r="B13" s="7">
        <v>1</v>
      </c>
      <c r="C13" t="s">
        <v>11</v>
      </c>
      <c r="F13" s="8"/>
    </row>
    <row r="14" spans="1:6" x14ac:dyDescent="0.2">
      <c r="A14" s="6"/>
      <c r="B14" s="7">
        <v>2</v>
      </c>
      <c r="C14" t="s">
        <v>12</v>
      </c>
      <c r="F14" s="8"/>
    </row>
    <row r="15" spans="1:6" x14ac:dyDescent="0.2">
      <c r="A15" s="9"/>
      <c r="B15" s="10">
        <v>3</v>
      </c>
      <c r="C15" s="11" t="s">
        <v>13</v>
      </c>
      <c r="D15" s="11"/>
      <c r="E15" s="11"/>
      <c r="F15" s="12"/>
    </row>
    <row r="17" spans="1:10" x14ac:dyDescent="0.2">
      <c r="A17" s="2" t="s">
        <v>14</v>
      </c>
      <c r="B17" s="3">
        <v>0</v>
      </c>
      <c r="C17" s="13" t="s">
        <v>15</v>
      </c>
    </row>
    <row r="18" spans="1:10" x14ac:dyDescent="0.2">
      <c r="A18" s="14"/>
      <c r="B18" s="7">
        <v>1</v>
      </c>
      <c r="C18" s="15" t="s">
        <v>16</v>
      </c>
    </row>
    <row r="19" spans="1:10" x14ac:dyDescent="0.2">
      <c r="A19" s="16"/>
      <c r="B19" s="17">
        <v>3</v>
      </c>
      <c r="C19" s="18" t="s">
        <v>17</v>
      </c>
    </row>
    <row r="20" spans="1:10" x14ac:dyDescent="0.2">
      <c r="A20" s="14"/>
    </row>
    <row r="21" spans="1:10" x14ac:dyDescent="0.2">
      <c r="A21" s="2" t="s">
        <v>9</v>
      </c>
      <c r="B21" s="19" t="s">
        <v>17</v>
      </c>
      <c r="C21" s="4"/>
      <c r="D21" s="4"/>
      <c r="E21" s="4"/>
      <c r="F21" s="4"/>
      <c r="G21" s="4"/>
      <c r="H21" s="4"/>
      <c r="I21" s="4"/>
      <c r="J21" s="5"/>
    </row>
    <row r="22" spans="1:10" x14ac:dyDescent="0.2">
      <c r="A22" s="6"/>
      <c r="B22" s="20"/>
      <c r="C22" s="21">
        <v>1</v>
      </c>
      <c r="D22" t="s">
        <v>18</v>
      </c>
      <c r="J22" s="8"/>
    </row>
    <row r="23" spans="1:10" x14ac:dyDescent="0.2">
      <c r="A23" s="6"/>
      <c r="B23" s="20"/>
      <c r="C23" s="21"/>
      <c r="J23" s="8"/>
    </row>
    <row r="24" spans="1:10" x14ac:dyDescent="0.2">
      <c r="A24" s="6"/>
      <c r="B24" s="20" t="s">
        <v>15</v>
      </c>
      <c r="C24" s="21"/>
      <c r="J24" s="8"/>
    </row>
    <row r="25" spans="1:10" x14ac:dyDescent="0.2">
      <c r="A25" s="6"/>
      <c r="B25" s="20"/>
      <c r="C25" s="21">
        <v>1</v>
      </c>
      <c r="D25" t="s">
        <v>19</v>
      </c>
      <c r="J25" s="8"/>
    </row>
    <row r="26" spans="1:10" x14ac:dyDescent="0.2">
      <c r="A26" s="6"/>
      <c r="B26" s="20"/>
      <c r="C26" s="21">
        <v>2</v>
      </c>
      <c r="D26" t="s">
        <v>20</v>
      </c>
      <c r="J26" s="8"/>
    </row>
    <row r="27" spans="1:10" x14ac:dyDescent="0.2">
      <c r="A27" s="6"/>
      <c r="B27" s="20"/>
      <c r="C27" s="21">
        <v>10</v>
      </c>
      <c r="D27" t="s">
        <v>21</v>
      </c>
      <c r="J27" s="8"/>
    </row>
    <row r="28" spans="1:10" x14ac:dyDescent="0.2">
      <c r="A28" s="6"/>
      <c r="B28" s="20"/>
      <c r="C28" s="21">
        <v>11</v>
      </c>
      <c r="D28" t="s">
        <v>22</v>
      </c>
      <c r="J28" s="8"/>
    </row>
    <row r="29" spans="1:10" x14ac:dyDescent="0.2">
      <c r="A29" s="6"/>
      <c r="B29" s="20"/>
      <c r="C29" s="21"/>
      <c r="J29" s="8"/>
    </row>
    <row r="30" spans="1:10" x14ac:dyDescent="0.2">
      <c r="A30" s="6"/>
      <c r="B30" s="20" t="s">
        <v>16</v>
      </c>
      <c r="C30" s="21"/>
      <c r="J30" s="8"/>
    </row>
    <row r="31" spans="1:10" x14ac:dyDescent="0.2">
      <c r="A31" s="6"/>
      <c r="C31" s="21">
        <v>1</v>
      </c>
      <c r="D31" t="s">
        <v>18</v>
      </c>
      <c r="J31" s="8"/>
    </row>
    <row r="32" spans="1:10" x14ac:dyDescent="0.2">
      <c r="A32" s="6"/>
      <c r="C32" s="21">
        <v>2</v>
      </c>
      <c r="D32" t="s">
        <v>23</v>
      </c>
      <c r="J32" s="8"/>
    </row>
    <row r="33" spans="1:10" x14ac:dyDescent="0.2">
      <c r="A33" s="6"/>
      <c r="C33" s="21">
        <v>3</v>
      </c>
      <c r="D33" t="s">
        <v>24</v>
      </c>
      <c r="J33" s="8"/>
    </row>
    <row r="34" spans="1:10" x14ac:dyDescent="0.2">
      <c r="A34" s="6"/>
      <c r="C34" s="21">
        <v>4</v>
      </c>
      <c r="D34" t="s">
        <v>25</v>
      </c>
      <c r="J34" s="8"/>
    </row>
    <row r="35" spans="1:10" x14ac:dyDescent="0.2">
      <c r="A35" s="6"/>
      <c r="C35" s="21">
        <v>10</v>
      </c>
      <c r="D35" t="s">
        <v>21</v>
      </c>
      <c r="J35" s="8"/>
    </row>
    <row r="36" spans="1:10" x14ac:dyDescent="0.2">
      <c r="A36" s="9"/>
      <c r="B36" s="11"/>
      <c r="C36" s="10">
        <v>11</v>
      </c>
      <c r="D36" s="11" t="s">
        <v>22</v>
      </c>
      <c r="E36" s="11"/>
      <c r="F36" s="11"/>
      <c r="G36" s="11"/>
      <c r="H36" s="11"/>
      <c r="I36" s="11"/>
      <c r="J36" s="12"/>
    </row>
  </sheetData>
  <phoneticPr fontId="1" type="noConversion"/>
  <dataValidations count="2">
    <dataValidation type="list" allowBlank="1" showInputMessage="1" showErrorMessage="1" sqref="B1">
      <formula1>$B$12:$B$15</formula1>
    </dataValidation>
    <dataValidation type="list" allowBlank="1" showInputMessage="1" showErrorMessage="1" sqref="B2">
      <formula1>$B$17:$B$19</formula1>
    </dataValidation>
  </dataValidation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17</vt:i4>
      </vt:variant>
    </vt:vector>
  </HeadingPairs>
  <TitlesOfParts>
    <vt:vector size="20" baseType="lpstr">
      <vt:lpstr>Resultat</vt:lpstr>
      <vt:lpstr>Feuil2</vt:lpstr>
      <vt:lpstr>Param_Modele</vt:lpstr>
      <vt:lpstr>zn_param_Modele_Defaut</vt:lpstr>
      <vt:lpstr>zn_param_Modele_Filtre</vt:lpstr>
      <vt:lpstr>zn_param_Modele_Multi_Session</vt:lpstr>
      <vt:lpstr>zn_param_Modele_Niv_Requete</vt:lpstr>
      <vt:lpstr>zn_param_Modele_Plusieurs_Fichiers</vt:lpstr>
      <vt:lpstr>zn_param_Modele_Progression</vt:lpstr>
      <vt:lpstr>zn_param_Modele_Tri</vt:lpstr>
      <vt:lpstr>zn_param_Modele_Type_Modele</vt:lpstr>
      <vt:lpstr>zn_param_Modele_Type_Proc_Traitement</vt:lpstr>
      <vt:lpstr>zn_param_Modele_Version</vt:lpstr>
      <vt:lpstr>znGenCodePostal</vt:lpstr>
      <vt:lpstr>znGenFax</vt:lpstr>
      <vt:lpstr>znGenRue1</vt:lpstr>
      <vt:lpstr>znGenSociete</vt:lpstr>
      <vt:lpstr>znGenTel</vt:lpstr>
      <vt:lpstr>znGenVille</vt:lpstr>
      <vt:lpstr>Resultat!Zone_d_impression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2016-02-26T10:10:23Z</cp:lastPrinted>
  <dcterms:created xsi:type="dcterms:W3CDTF">2008-06-18T06:10:14Z</dcterms:created>
  <dcterms:modified xsi:type="dcterms:W3CDTF">2024-03-02T13:44:03Z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euilleDonnee">
    <vt:lpwstr>Collec Niveau1</vt:lpwstr>
  </property>
  <property fmtid="{D5CDD505-2E9C-101B-9397-08002B2CF9AE}" pid="3" name="TYPE_TRAITEMENT" linkTarget="zn_param_Modele_Type_Proc_Traitement">
    <vt:r8>3</vt:r8>
  </property>
  <property fmtid="{D5CDD505-2E9C-101B-9397-08002B2CF9AE}" pid="4" name="TYPE_MODELE" linkTarget="zn_param_Modele_Type_Modele">
    <vt:r8>1</vt:r8>
  </property>
  <property fmtid="{D5CDD505-2E9C-101B-9397-08002B2CF9AE}" pid="5" name="NIV_REQUETE" linkTarget="zn_param_Modele_Niv_Requete">
    <vt:r8>1</vt:r8>
  </property>
  <property fmtid="{D5CDD505-2E9C-101B-9397-08002B2CF9AE}" pid="6" name="PLUSIEURS_FICHIERS" linkTarget="zn_param_Modele_Plusieurs_Fichiers">
    <vt:r8>0</vt:r8>
  </property>
  <property fmtid="{D5CDD505-2E9C-101B-9397-08002B2CF9AE}" pid="7" name="VERSION" linkTarget="zn_param_Modele_Version">
    <vt:r8>1</vt:r8>
  </property>
  <property fmtid="{D5CDD505-2E9C-101B-9397-08002B2CF9AE}" pid="8" name="MULTI_SESSION" linkTarget="zn_param_Modele_Multi_Session">
    <vt:r8>0</vt:r8>
  </property>
  <property fmtid="{D5CDD505-2E9C-101B-9397-08002B2CF9AE}" pid="9" name="TRI" linkTarget="zn_param_Modele_Tri">
    <vt:r8>0</vt:r8>
  </property>
  <property fmtid="{D5CDD505-2E9C-101B-9397-08002B2CF9AE}" pid="10" name="PROGRESSION" linkTarget="zn_param_Modele_Progression">
    <vt:r8>0</vt:r8>
  </property>
  <property fmtid="{D5CDD505-2E9C-101B-9397-08002B2CF9AE}" pid="11" name="FILTRE" linkTarget="zn_param_Modele_Filtre">
    <vt:r8>0</vt:r8>
  </property>
  <property fmtid="{D5CDD505-2E9C-101B-9397-08002B2CF9AE}" pid="12" name="DEFAUT" linkTarget="Param_Modele!zn_param_Modele_Defaut">
    <vt:r8>1</vt:r8>
  </property>
  <property fmtid="{D5CDD505-2E9C-101B-9397-08002B2CF9AE}" pid="13" name="MODE_CONCEPTION">
    <vt:lpwstr>1</vt:lpwstr>
  </property>
  <property fmtid="{D5CDD505-2E9C-101B-9397-08002B2CF9AE}" pid="14" name="NomModeleQB">
    <vt:lpwstr>C:\QuizzBoxData\Modele_Export\fr-FR\default\Résultat collectif - Note avec decision.xlsx</vt:lpwstr>
  </property>
</Properties>
</file>